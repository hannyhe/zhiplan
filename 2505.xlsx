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28" windowHeight="9120" firstSheet="23" activeTab="31"/>
  </bookViews>
  <sheets>
    <sheet name="0501" sheetId="3" r:id="rId1"/>
    <sheet name="0502" sheetId="1" r:id="rId2"/>
    <sheet name="0503" sheetId="2" r:id="rId3"/>
    <sheet name="0504" sheetId="4" r:id="rId4"/>
    <sheet name="0505" sheetId="5" r:id="rId5"/>
    <sheet name="0506" sheetId="6" r:id="rId6"/>
    <sheet name="0507" sheetId="7" r:id="rId7"/>
    <sheet name="0508" sheetId="8" r:id="rId8"/>
    <sheet name="0509" sheetId="9" r:id="rId9"/>
    <sheet name="0510" sheetId="10" r:id="rId10"/>
    <sheet name="0511" sheetId="11" r:id="rId11"/>
    <sheet name="0512" sheetId="12" r:id="rId12"/>
    <sheet name="0513" sheetId="13" r:id="rId13"/>
    <sheet name="0514" sheetId="14" r:id="rId14"/>
    <sheet name="0515" sheetId="15" r:id="rId15"/>
    <sheet name="0516" sheetId="16" r:id="rId16"/>
    <sheet name="0517" sheetId="17" r:id="rId17"/>
    <sheet name="0518" sheetId="18" r:id="rId18"/>
    <sheet name="0519" sheetId="19" r:id="rId19"/>
    <sheet name="0520" sheetId="20" r:id="rId20"/>
    <sheet name="0521" sheetId="21" r:id="rId21"/>
    <sheet name="0522" sheetId="22" r:id="rId22"/>
    <sheet name="0523" sheetId="23" r:id="rId23"/>
    <sheet name="0524" sheetId="24" r:id="rId24"/>
    <sheet name="0525" sheetId="25" r:id="rId25"/>
    <sheet name="0526" sheetId="26" r:id="rId26"/>
    <sheet name="0527" sheetId="27" r:id="rId27"/>
    <sheet name="0528" sheetId="28" r:id="rId28"/>
    <sheet name="0529" sheetId="29" r:id="rId29"/>
    <sheet name="0530" sheetId="30" r:id="rId30"/>
    <sheet name="0531" sheetId="31" r:id="rId31"/>
    <sheet name="0601" sheetId="32" r:id="rId32"/>
  </sheets>
  <calcPr calcId="144525"/>
</workbook>
</file>

<file path=xl/sharedStrings.xml><?xml version="1.0" encoding="utf-8"?>
<sst xmlns="http://schemas.openxmlformats.org/spreadsheetml/2006/main" count="2919" uniqueCount="192">
  <si>
    <t>内容</t>
  </si>
  <si>
    <t>内容类型</t>
  </si>
  <si>
    <t>内容发布时间</t>
  </si>
  <si>
    <t>本期阅读量</t>
  </si>
  <si>
    <t>本期收益</t>
  </si>
  <si>
    <t>累计阅读量</t>
  </si>
  <si>
    <t>累计收益</t>
  </si>
  <si>
    <t>新增浏览</t>
  </si>
  <si>
    <t>新增收益</t>
  </si>
  <si>
    <t>请问在不破坏树的情况下怎么把树皮腐蚀下来一点，不让大树压到房子?</t>
  </si>
  <si>
    <t>回答</t>
  </si>
  <si>
    <t>香椿的功效与作用是什么呢？</t>
  </si>
  <si>
    <t>人一天到底要吃多少，才不会太多也不会太少？</t>
  </si>
  <si>
    <t>同样的时间，为什么早上煮的菜晚上可以吃，但晚上煮的菜第二天早上就叫隔夜菜，吃了就不利于健康呢？</t>
  </si>
  <si>
    <t>能否告诉我这花团锦簇的是什么树？</t>
  </si>
  <si>
    <t>医生说少油少盐，不可抗拒的原因一直在吃食堂，是不是少吃点多喝汤就达到上述要求？</t>
  </si>
  <si>
    <t>有人说一周吃四个鸡蛋就够了，有人说每天一个鸡蛋最好，到底哪种说法更合适？</t>
  </si>
  <si>
    <t>这是什么品种的花卉？</t>
  </si>
  <si>
    <t>酸菜炖大骨头好吃的做法有哪些？</t>
  </si>
  <si>
    <t>两杯水中，一杯其中加盐鸡蛋会怎么样？</t>
  </si>
  <si>
    <t>0430顶99,23,26,2,1</t>
  </si>
  <si>
    <t>煎鱼总粘锅破皮是物理问题还是技术问题？家庭厨房如何彻底解决？</t>
  </si>
  <si>
    <t>蝴蝶兰花茎为啥这么粗壮？</t>
  </si>
  <si>
    <t>血压高适合吃哪些食物？</t>
  </si>
  <si>
    <t>0426顶98,26,40,3,1</t>
  </si>
  <si>
    <t>小时候都是吃猪油，为什么不知道从什么时候就没出现在餐桌上了?</t>
  </si>
  <si>
    <t>这个长在植物上白色东西是甚么？会不会影响植物生长？</t>
  </si>
  <si>
    <t>你能不能找到一个比较简单的数学问题，但是deepseek却得不到正确结果？</t>
  </si>
  <si>
    <t>同样的电饭煲煮饭，用不同的大米煮，加的水是一样的吗？</t>
  </si>
  <si>
    <t>怎么分辨桃花樱桃李子树花梨花呢？</t>
  </si>
  <si>
    <t>0424顶96,23,30,2,4</t>
  </si>
  <si>
    <t>有认识这是什么植物长出来的苗吗？</t>
  </si>
  <si>
    <t>问一个数学问题，可能有99%的人都答错：6个鸡蛋，打碎了两个，煮了两个，吃了两个，还剩几个？</t>
  </si>
  <si>
    <t>排骨放高压锅炖要几分钟?</t>
  </si>
  <si>
    <t>为啥大中火煸油 没等油煸出来就糊了?</t>
  </si>
  <si>
    <t>鸡头跟鸡屁股都去哪儿了？？？</t>
  </si>
  <si>
    <t>0420顶42，13，43，3</t>
  </si>
  <si>
    <t>一盘饺子姐姐吃剩7个妹妹吃剩9个两人都吃差4个饺子有几个?</t>
  </si>
  <si>
    <t>大树被锯掉树冠还能发芽吗？</t>
  </si>
  <si>
    <t>请问怎么能彻底杀死一棵香椿树？</t>
  </si>
  <si>
    <t>少先队员种杨树和柳树共140棵，杨树比柳树多40棵，那么杨树种了多少棵，柳树种了多少棵。?</t>
  </si>
  <si>
    <t>0427收益期128，194</t>
  </si>
  <si>
    <t>请问在食堂打饭时一两米饭指的是熟重一两还是生重一两?</t>
  </si>
  <si>
    <t>0428收益期593,635</t>
  </si>
  <si>
    <t>做蒸饺时应该怎么和面呢？</t>
  </si>
  <si>
    <t>0426收益期1029,907</t>
  </si>
  <si>
    <t>为什么我做的红烧肉总是不够软烂入味，有什么小窍门能让红烧肉达到入口即化的口感呢？</t>
  </si>
  <si>
    <t>0425收益期613,757</t>
  </si>
  <si>
    <t>你们采摘过野外的桑葚么？或者采摘过什么野果野菜？口感怎么样？</t>
  </si>
  <si>
    <t>0426收益期222,530</t>
  </si>
  <si>
    <t>钟南山呼吁别再「无效节约」，别让剩饭剩菜伤了胃，剩菜剩饭有哪些危害？生活中还有哪些饮食健康易被忽视？</t>
  </si>
  <si>
    <t>0407荐22.3万，784,296,399,48</t>
  </si>
  <si>
    <t>谁能提供一个猪肉好吃又简单的做法？</t>
  </si>
  <si>
    <t>0425收益期4799,1976</t>
  </si>
  <si>
    <t>牛肉水煮40分钟后，轻微炒2分钟，吃起来还是很硬很柴，问题出在哪里呢？</t>
  </si>
  <si>
    <t>0413收益期928，667</t>
  </si>
  <si>
    <t>草莓究竟是哪个季节的果实?</t>
  </si>
  <si>
    <t>0401收益期317,655</t>
  </si>
  <si>
    <t>油炸食物很香，哪些蔬菜适合油炸且非常好吃？</t>
  </si>
  <si>
    <t>0403收益期359,647</t>
  </si>
  <si>
    <t>早餐吃什么最好？是牛奶还是面包？</t>
  </si>
  <si>
    <t>0402收益期203,558</t>
  </si>
  <si>
    <t>酥脆剂和泡打粉的区别有哪些？</t>
  </si>
  <si>
    <t>0216收益期91,31</t>
  </si>
  <si>
    <t>鸡蛋放两个月没坏还能吃吗？</t>
  </si>
  <si>
    <t>0412收益期1091,787</t>
  </si>
  <si>
    <t>前几天养了四只小鸡，一只死了。还剩三只鸡，其中的一只鸡又被其它两只小鸡把屁眼那块啄的血琳琳，啥原因？</t>
  </si>
  <si>
    <t>0502顶78,26,10,4，2</t>
  </si>
  <si>
    <t>自己种的都忘了，请问这个是什么果树?</t>
  </si>
  <si>
    <t>明明白面是由小麦制成的，为什么很多老人80年代后才吃得起白面馒头？</t>
  </si>
  <si>
    <t>家里吃剩的煮鸡蛋，可以用来做花肥吗？</t>
  </si>
  <si>
    <t>0421收益期134,258</t>
  </si>
  <si>
    <t>有人见过路边这种果实么？</t>
  </si>
  <si>
    <t>茄子除了炒着吃以外，还有什么其他比较健康的烹饪方法？</t>
  </si>
  <si>
    <t>0428收益期430,505</t>
  </si>
  <si>
    <t>长期不吃早餐真的会得胆结石吗？还是危言耸听？</t>
  </si>
  <si>
    <t>0406收益期290,272</t>
  </si>
  <si>
    <t>为什么草莓不容易活？</t>
  </si>
  <si>
    <t>0504收益期22.4万，10593</t>
  </si>
  <si>
    <t>0503收益期494,670</t>
  </si>
  <si>
    <t>如何判断鸡蛋是否坏掉了？</t>
  </si>
  <si>
    <t>现在还有马嘛？村子卖得马肉不会是骡子肉吧❓️❓️❓️?</t>
  </si>
  <si>
    <t>0507荐244,41,30,3,2</t>
  </si>
  <si>
    <t>大神们，这是什么鸟下的蛋？</t>
  </si>
  <si>
    <t>0508荐238,32,11,3,1</t>
  </si>
  <si>
    <t>从外面买的饺子皮用不完该怎么吃才好吃?</t>
  </si>
  <si>
    <t>0407收益期246,648</t>
  </si>
  <si>
    <t>0420收益期257，654</t>
  </si>
  <si>
    <t>请问下是什么树，几年前家里人买的，一直放在天台，现在开始结果了?</t>
  </si>
  <si>
    <t>0509荐204,44,38，3,3</t>
  </si>
  <si>
    <t>0503收益期651,370</t>
  </si>
  <si>
    <t>文火煮鸡蛋要多久能保证蛋黄熟了？</t>
  </si>
  <si>
    <t>241024收益期436,36</t>
  </si>
  <si>
    <t>如何评价大锅卤菜？</t>
  </si>
  <si>
    <t>0510荐117，18,14,5,2</t>
  </si>
  <si>
    <t>这是什么蔬菜，如何烹饪？</t>
  </si>
  <si>
    <t>为什么南方种大米，东北也种大米，但华北地区却不种大米？</t>
  </si>
  <si>
    <t>0427收益期9467,1157</t>
  </si>
  <si>
    <t>如果一辈子只吃荤，不吃素会怎样？</t>
  </si>
  <si>
    <t>0417收益期192,337</t>
  </si>
  <si>
    <t>0510顶213,27,25,4</t>
  </si>
  <si>
    <t>为什么同一种食材（如豆腐）在不同文化中的烹饪方式和地位差异如此显著？</t>
  </si>
  <si>
    <t>0511荐142，46，83，5，2</t>
  </si>
  <si>
    <t>为什么我的红糖馒头蒸出来是这样的？</t>
  </si>
  <si>
    <t>0506收益期216,603</t>
  </si>
  <si>
    <t>蒸馒头时，加点儿什么能让馒头更松软？</t>
  </si>
  <si>
    <t>0504收益期404,452</t>
  </si>
  <si>
    <t>大葱开花了还能吃吗？</t>
  </si>
  <si>
    <t>炒花生米是个技术活儿，稍不注意就炒糊了，怎样才能精准控制炒花生米的火候呢？</t>
  </si>
  <si>
    <t>0514顶63,22,26,6</t>
  </si>
  <si>
    <t>为什么我觉得所有鱼的味道都一样？</t>
  </si>
  <si>
    <t>0225收益期417,344</t>
  </si>
  <si>
    <t>谁能告诉我草莓到底怎么才能种出来 ?</t>
  </si>
  <si>
    <t>为什么买回来的馒头，用微波炉热完会缩小？</t>
  </si>
  <si>
    <t>大骨头怎么炖才好吃，怎么做？</t>
  </si>
  <si>
    <t>大家好，我想问问这是什么植物？怎么养能健壮生长？谢谢！?</t>
  </si>
  <si>
    <t>如何辨认桑树，比如片特征，形态特点之类的？</t>
  </si>
  <si>
    <t>0514收益期246,304</t>
  </si>
  <si>
    <t>哪些食材需要提前焯水？</t>
  </si>
  <si>
    <t>0424收益期513,642</t>
  </si>
  <si>
    <t>你的厨艺是怎么提高的?</t>
  </si>
  <si>
    <t>白糖是否可以作为口粮直接食用来补充体能？直接食用白糖是否对健康有害？</t>
  </si>
  <si>
    <t>0507收益期380,657</t>
  </si>
  <si>
    <t>粽子里的糯米要提前泡多久？怎么包才能不漏米？</t>
  </si>
  <si>
    <t>0218收益期71,518</t>
  </si>
  <si>
    <t>和面，成功面发，但是我的馒头也超级硬谁有办法解决我的问题，让我成功做一次面食？</t>
  </si>
  <si>
    <t>0125收益期168,513</t>
  </si>
  <si>
    <t>和面机和出来的面真的不如手工和面吗，在口感上到底有什么区别？</t>
  </si>
  <si>
    <t>0318收益期8841,2508</t>
  </si>
  <si>
    <t>洋葱放时间长了，长出绿色的苗苗，这个可以当吃嘛？</t>
  </si>
  <si>
    <t>你最拿手的面食是什么？</t>
  </si>
  <si>
    <t>0518顶169,29,50,4,4</t>
  </si>
  <si>
    <t>为什么饿急了的时候身体感觉快支撑不住了，但是吃完东西马上就感觉有力气了？</t>
  </si>
  <si>
    <t>0519顶113,23,21,6,12</t>
  </si>
  <si>
    <t>明明白面是由小麦制成的，为什么很多老人 80 年代后才吃得起白面馒头？</t>
  </si>
  <si>
    <t>0514收益期1338,692</t>
  </si>
  <si>
    <t>为什么揉团时，揉了好长时间，总揉不光，面团表面还有许多裂缝？</t>
  </si>
  <si>
    <t>2412收益期2332,889</t>
  </si>
  <si>
    <t>「雨前椿芽嫩如丝，雨后椿芽如木质」，今年的香椿你吃上了吗？你都知道哪些香椿的美味吃法？</t>
  </si>
  <si>
    <t>0309荐45,18,65</t>
  </si>
  <si>
    <t>0310顶49,18,69</t>
  </si>
  <si>
    <t>0519超132,32,80,4,3</t>
  </si>
  <si>
    <t>这棵树需不需要修理这外面太密了会不会挡阳光?</t>
  </si>
  <si>
    <t>0520超110,31,26,4,3</t>
  </si>
  <si>
    <t>0501收益期1107,290</t>
  </si>
  <si>
    <t>0517收益期469,521</t>
  </si>
  <si>
    <t>你吃苹果时，苹果皮会吃掉吗？</t>
  </si>
  <si>
    <t>0516收益期523,680</t>
  </si>
  <si>
    <t>茄子和屎有什么区别？</t>
  </si>
  <si>
    <t>你是什么时候开始家庭种菜的？</t>
  </si>
  <si>
    <t>0514收益期1078,951</t>
  </si>
  <si>
    <t>这是什么果实？能吃吗?</t>
  </si>
  <si>
    <t>0523顶131,29,25,5,1</t>
  </si>
  <si>
    <t>0517收益期308,195</t>
  </si>
  <si>
    <t>一天六个鸡蛋人类承受的了吗？</t>
  </si>
  <si>
    <t>0417收益期1556，841</t>
  </si>
  <si>
    <t>对主食“筋道”“有嚼劲”的追求，是否属于一种苦难崇拜？</t>
  </si>
  <si>
    <t>L0524</t>
  </si>
  <si>
    <t>为什么过去的鸡蛋每枚60~70克比现在的鸡蛋大？</t>
  </si>
  <si>
    <t>0522收益期5228,2091</t>
  </si>
  <si>
    <t>碧根果和核桃是同类吗？</t>
  </si>
  <si>
    <t>0526顶137,31,34,3,9</t>
  </si>
  <si>
    <t>0523收益期175,524</t>
  </si>
  <si>
    <t>0523收益期9103,2509</t>
  </si>
  <si>
    <t>长着一颗颗绿色球状果实成熟会变成黄色，开白色小花的是什么植物?植物?</t>
  </si>
  <si>
    <t>茄子的做法有哪些？茄子一点都不好做，大家分享一下？</t>
  </si>
  <si>
    <t>0527超111,21,21,11,2</t>
  </si>
  <si>
    <t>0527顶198,17,40,2,3</t>
  </si>
  <si>
    <t>0527撤152,36,36,3,9</t>
  </si>
  <si>
    <t>0523收益期240,226</t>
  </si>
  <si>
    <t>0527超202,58,49,7,21</t>
  </si>
  <si>
    <t>无花果一般在哪个月份成熟?</t>
  </si>
  <si>
    <t>请问这棵树的圈是怎么长出来的？</t>
  </si>
  <si>
    <t>0528顶99,13,5,3,1</t>
  </si>
  <si>
    <t>0528撤215,22,41,2,4</t>
  </si>
  <si>
    <t>0521收益期322,287</t>
  </si>
  <si>
    <t>吃芒果要注意什么事情？</t>
  </si>
  <si>
    <t>0529顶78,12,15,4</t>
  </si>
  <si>
    <t>0529超240,58,60,7,10</t>
  </si>
  <si>
    <t>嫁接后的树木，会变成一体的吗？</t>
  </si>
  <si>
    <t>什么是浆果？什么是核果？</t>
  </si>
  <si>
    <t>0526收益期487,526</t>
  </si>
  <si>
    <t>种辣椒，有人说打杈好，有人说掐头好，究竟该如何做？</t>
  </si>
  <si>
    <t>0531顶42,14,11,3,11</t>
  </si>
  <si>
    <t>0531顶113,28,34,6,6</t>
  </si>
  <si>
    <t>北方在端午节没有成为法定节日之前是不是不过端午节，也没听说过龙舟比赛和吃粽子?</t>
  </si>
  <si>
    <t>0601荐118,17,22,3,3</t>
  </si>
  <si>
    <t>从树上掉下来的杏还是能吃的吗？</t>
  </si>
  <si>
    <t>0525收益期332,177</t>
  </si>
  <si>
    <t>0530收益期230,570</t>
  </si>
  <si>
    <t>0507收益期229,685</t>
  </si>
  <si>
    <t>0521收益期488,619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</si>
</sst>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2">
    <font>
      <sz val="11"/>
      <color theme="1"/>
      <name val="宋体"/>
      <charset val="134"/>
      <scheme val="minor"/>
    </font>
    <font>
      <sz val="10.5"/>
      <color rgb="FF09408E"/>
      <name val="Helvetica"/>
      <charset val="134"/>
    </font>
    <font>
      <sz val="10.5"/>
      <color rgb="FF191B1F"/>
      <name val="Helvetica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EBECED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6" fillId="13" borderId="2" applyNumberFormat="0" applyAlignment="0" applyProtection="0">
      <alignment vertical="center"/>
    </xf>
    <xf numFmtId="0" fontId="17" fillId="14" borderId="7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14" fontId="0" fillId="0" borderId="0" xfId="0" applyNumberFormat="1" applyFill="1" applyAlignment="1">
      <alignment vertical="center"/>
    </xf>
    <xf numFmtId="176" fontId="0" fillId="0" borderId="0" xfId="0" applyNumberFormat="1" applyFill="1" applyBorder="1" applyAlignment="1">
      <alignment vertical="center"/>
    </xf>
    <xf numFmtId="177" fontId="0" fillId="0" borderId="0" xfId="0" applyNumberFormat="1" applyFill="1" applyAlignment="1">
      <alignment vertical="center"/>
    </xf>
    <xf numFmtId="49" fontId="0" fillId="0" borderId="0" xfId="0" applyNumberFormat="1" applyFill="1" applyAlignment="1">
      <alignment vertical="center"/>
    </xf>
    <xf numFmtId="177" fontId="0" fillId="0" borderId="0" xfId="0" applyNumberFormat="1" applyFill="1" applyBorder="1" applyAlignment="1">
      <alignment vertical="center"/>
    </xf>
    <xf numFmtId="177" fontId="0" fillId="2" borderId="0" xfId="0" applyNumberFormat="1" applyFill="1" applyBorder="1" applyAlignment="1">
      <alignment vertical="center"/>
    </xf>
    <xf numFmtId="14" fontId="0" fillId="0" borderId="0" xfId="0" applyNumberFormat="1" applyFill="1" applyAlignmen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  <xf numFmtId="3" fontId="0" fillId="0" borderId="0" xfId="0" applyNumberFormat="1" applyFill="1" applyAlignment="1">
      <alignment vertical="center"/>
    </xf>
    <xf numFmtId="14" fontId="0" fillId="0" borderId="0" xfId="0" applyNumberFormat="1">
      <alignment vertical="center"/>
    </xf>
    <xf numFmtId="0" fontId="1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0" fillId="0" borderId="0" xfId="0" applyNumberFormat="1" applyFill="1" applyBorder="1" applyAlignment="1">
      <alignment vertical="center"/>
    </xf>
    <xf numFmtId="0" fontId="0" fillId="2" borderId="0" xfId="0" applyNumberForma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5" Type="http://schemas.openxmlformats.org/officeDocument/2006/relationships/sharedStrings" Target="sharedStrings.xml"/><Relationship Id="rId34" Type="http://schemas.openxmlformats.org/officeDocument/2006/relationships/styles" Target="styles.xml"/><Relationship Id="rId33" Type="http://schemas.openxmlformats.org/officeDocument/2006/relationships/theme" Target="theme/theme1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zhihu.com/question/1896061581936281319/answer/18963639854833254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6"/>
  <sheetViews>
    <sheetView topLeftCell="A19" workbookViewId="0">
      <selection activeCell="A20" sqref="$A20:$XFD20"/>
    </sheetView>
  </sheetViews>
  <sheetFormatPr defaultColWidth="10" defaultRowHeight="14.4"/>
  <cols>
    <col min="1" max="1" width="49.2222222222222" style="2" customWidth="1"/>
    <col min="2" max="2" width="0.777777777777778" style="2" customWidth="1"/>
    <col min="3" max="3" width="10" style="2"/>
    <col min="4" max="7" width="6.11111111111111" style="2" customWidth="1"/>
    <col min="8" max="9" width="6.77777777777778" style="2" customWidth="1"/>
    <col min="10" max="10" width="7.66666666666667" style="2" customWidth="1"/>
    <col min="11" max="12" width="6.77777777777778" style="2" customWidth="1"/>
    <col min="13" max="13" width="18.6666666666667" style="2" customWidth="1"/>
    <col min="14" max="14" width="10" style="2"/>
    <col min="15" max="15" width="17" style="2" customWidth="1"/>
    <col min="16" max="16384" width="10" style="2"/>
  </cols>
  <sheetData>
    <row r="1" s="2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J1" s="5" t="s">
        <v>7</v>
      </c>
      <c r="K1" s="5" t="s">
        <v>8</v>
      </c>
    </row>
    <row r="2" s="2" customFormat="1" spans="1:12">
      <c r="A2" s="2" t="s">
        <v>9</v>
      </c>
      <c r="B2" s="2" t="s">
        <v>10</v>
      </c>
      <c r="C2" s="9">
        <v>45777</v>
      </c>
      <c r="D2" s="2">
        <v>92</v>
      </c>
      <c r="E2" s="2">
        <v>226</v>
      </c>
      <c r="F2" s="2">
        <v>92</v>
      </c>
      <c r="G2" s="2">
        <v>226</v>
      </c>
      <c r="H2" s="4">
        <f t="shared" ref="H2:H40" si="0">E2/D2</f>
        <v>2.45652173913043</v>
      </c>
      <c r="I2" s="4">
        <f t="shared" ref="I2:I40" si="1">G2/F2</f>
        <v>2.45652173913043</v>
      </c>
      <c r="J2" s="7">
        <v>92</v>
      </c>
      <c r="K2" s="8">
        <v>226</v>
      </c>
      <c r="L2" s="4">
        <f t="shared" ref="L2:L40" si="2">IFERROR(K2/J2,)</f>
        <v>2.45652173913043</v>
      </c>
    </row>
    <row r="3" s="2" customFormat="1" spans="1:12">
      <c r="A3" s="2" t="s">
        <v>11</v>
      </c>
      <c r="B3" s="2" t="s">
        <v>10</v>
      </c>
      <c r="C3" s="9">
        <v>45777</v>
      </c>
      <c r="D3" s="2">
        <v>61</v>
      </c>
      <c r="E3" s="2">
        <v>165</v>
      </c>
      <c r="F3" s="2">
        <v>61</v>
      </c>
      <c r="G3" s="2">
        <v>165</v>
      </c>
      <c r="H3" s="4">
        <f t="shared" si="0"/>
        <v>2.70491803278689</v>
      </c>
      <c r="I3" s="4">
        <f t="shared" si="1"/>
        <v>2.70491803278689</v>
      </c>
      <c r="J3" s="7">
        <v>61</v>
      </c>
      <c r="K3" s="8">
        <v>165</v>
      </c>
      <c r="L3" s="4">
        <f t="shared" si="2"/>
        <v>2.70491803278689</v>
      </c>
    </row>
    <row r="4" s="2" customFormat="1" spans="1:12">
      <c r="A4" s="2" t="s">
        <v>12</v>
      </c>
      <c r="B4" s="2" t="s">
        <v>10</v>
      </c>
      <c r="C4" s="9">
        <v>45776</v>
      </c>
      <c r="D4" s="2">
        <v>350</v>
      </c>
      <c r="E4" s="2">
        <v>368</v>
      </c>
      <c r="F4" s="2">
        <v>350</v>
      </c>
      <c r="G4" s="2">
        <v>368</v>
      </c>
      <c r="H4" s="4">
        <f t="shared" si="0"/>
        <v>1.05142857142857</v>
      </c>
      <c r="I4" s="4">
        <f t="shared" si="1"/>
        <v>1.05142857142857</v>
      </c>
      <c r="J4" s="7">
        <v>232</v>
      </c>
      <c r="K4" s="8">
        <v>155</v>
      </c>
      <c r="L4" s="4">
        <f t="shared" si="2"/>
        <v>0.668103448275862</v>
      </c>
    </row>
    <row r="5" s="2" customFormat="1" spans="1:12">
      <c r="A5" s="2" t="s">
        <v>13</v>
      </c>
      <c r="B5" s="2" t="s">
        <v>10</v>
      </c>
      <c r="C5" s="9">
        <v>45775</v>
      </c>
      <c r="D5" s="2">
        <v>200</v>
      </c>
      <c r="E5" s="2">
        <v>277</v>
      </c>
      <c r="F5" s="2">
        <v>200</v>
      </c>
      <c r="G5" s="2">
        <v>277</v>
      </c>
      <c r="H5" s="4">
        <f t="shared" si="0"/>
        <v>1.385</v>
      </c>
      <c r="I5" s="4">
        <f t="shared" si="1"/>
        <v>1.385</v>
      </c>
      <c r="J5" s="7">
        <v>56</v>
      </c>
      <c r="K5" s="8">
        <v>60</v>
      </c>
      <c r="L5" s="4">
        <f t="shared" si="2"/>
        <v>1.07142857142857</v>
      </c>
    </row>
    <row r="6" s="2" customFormat="1" spans="1:12">
      <c r="A6" s="2" t="s">
        <v>14</v>
      </c>
      <c r="B6" s="2" t="s">
        <v>10</v>
      </c>
      <c r="C6" s="9">
        <v>45775</v>
      </c>
      <c r="D6" s="2">
        <v>133</v>
      </c>
      <c r="E6" s="2">
        <v>304</v>
      </c>
      <c r="F6" s="2">
        <v>133</v>
      </c>
      <c r="G6" s="2">
        <v>304</v>
      </c>
      <c r="H6" s="4">
        <f t="shared" si="0"/>
        <v>2.28571428571429</v>
      </c>
      <c r="I6" s="4">
        <f t="shared" si="1"/>
        <v>2.28571428571429</v>
      </c>
      <c r="J6" s="7">
        <v>14</v>
      </c>
      <c r="K6" s="8">
        <v>28</v>
      </c>
      <c r="L6" s="4">
        <f t="shared" si="2"/>
        <v>2</v>
      </c>
    </row>
    <row r="7" s="2" customFormat="1" spans="1:12">
      <c r="A7" s="2" t="s">
        <v>15</v>
      </c>
      <c r="B7" s="2" t="s">
        <v>10</v>
      </c>
      <c r="C7" s="9">
        <v>45774</v>
      </c>
      <c r="D7" s="2">
        <v>136</v>
      </c>
      <c r="E7" s="2">
        <v>216</v>
      </c>
      <c r="F7" s="2">
        <v>136</v>
      </c>
      <c r="G7" s="2">
        <v>216</v>
      </c>
      <c r="H7" s="4">
        <f t="shared" si="0"/>
        <v>1.58823529411765</v>
      </c>
      <c r="I7" s="4">
        <f t="shared" si="1"/>
        <v>1.58823529411765</v>
      </c>
      <c r="J7" s="7">
        <v>7</v>
      </c>
      <c r="K7" s="8">
        <v>8</v>
      </c>
      <c r="L7" s="4">
        <f t="shared" si="2"/>
        <v>1.14285714285714</v>
      </c>
    </row>
    <row r="8" s="2" customFormat="1" spans="1:12">
      <c r="A8" s="2" t="s">
        <v>16</v>
      </c>
      <c r="B8" s="2" t="s">
        <v>10</v>
      </c>
      <c r="C8" s="9">
        <v>45774</v>
      </c>
      <c r="D8" s="2">
        <v>372</v>
      </c>
      <c r="E8" s="2">
        <v>363</v>
      </c>
      <c r="F8" s="2">
        <v>372</v>
      </c>
      <c r="G8" s="2">
        <v>363</v>
      </c>
      <c r="H8" s="4">
        <f t="shared" si="0"/>
        <v>0.975806451612903</v>
      </c>
      <c r="I8" s="4">
        <f t="shared" si="1"/>
        <v>0.975806451612903</v>
      </c>
      <c r="J8" s="7">
        <v>22</v>
      </c>
      <c r="K8" s="8">
        <v>64</v>
      </c>
      <c r="L8" s="4">
        <f t="shared" si="2"/>
        <v>2.90909090909091</v>
      </c>
    </row>
    <row r="9" s="2" customFormat="1" spans="1:12">
      <c r="A9" s="2" t="s">
        <v>17</v>
      </c>
      <c r="B9" s="2" t="s">
        <v>10</v>
      </c>
      <c r="C9" s="9">
        <v>45773</v>
      </c>
      <c r="D9" s="2">
        <v>134</v>
      </c>
      <c r="E9" s="2">
        <v>190</v>
      </c>
      <c r="F9" s="2">
        <v>134</v>
      </c>
      <c r="G9" s="2">
        <v>190</v>
      </c>
      <c r="H9" s="4">
        <f t="shared" si="0"/>
        <v>1.41791044776119</v>
      </c>
      <c r="I9" s="4">
        <f t="shared" si="1"/>
        <v>1.41791044776119</v>
      </c>
      <c r="J9" s="7">
        <v>22</v>
      </c>
      <c r="K9" s="8">
        <v>8</v>
      </c>
      <c r="L9" s="4">
        <f t="shared" si="2"/>
        <v>0.363636363636364</v>
      </c>
    </row>
    <row r="10" s="2" customFormat="1" spans="1:12">
      <c r="A10" s="2" t="s">
        <v>18</v>
      </c>
      <c r="B10" s="2" t="s">
        <v>10</v>
      </c>
      <c r="C10" s="9">
        <v>45773</v>
      </c>
      <c r="D10" s="2">
        <v>215</v>
      </c>
      <c r="E10" s="2">
        <v>241</v>
      </c>
      <c r="F10" s="2">
        <v>215</v>
      </c>
      <c r="G10" s="2">
        <v>241</v>
      </c>
      <c r="H10" s="4">
        <f t="shared" si="0"/>
        <v>1.12093023255814</v>
      </c>
      <c r="I10" s="4">
        <f t="shared" si="1"/>
        <v>1.12093023255814</v>
      </c>
      <c r="J10" s="7">
        <v>5</v>
      </c>
      <c r="K10" s="8">
        <v>6</v>
      </c>
      <c r="L10" s="4">
        <f t="shared" si="2"/>
        <v>1.2</v>
      </c>
    </row>
    <row r="11" s="2" customFormat="1" spans="1:13">
      <c r="A11" s="2" t="s">
        <v>19</v>
      </c>
      <c r="B11" s="2" t="s">
        <v>10</v>
      </c>
      <c r="C11" s="9">
        <v>45772</v>
      </c>
      <c r="D11" s="2">
        <v>124</v>
      </c>
      <c r="E11" s="2">
        <v>462</v>
      </c>
      <c r="F11" s="2">
        <v>124</v>
      </c>
      <c r="G11" s="2">
        <v>462</v>
      </c>
      <c r="H11" s="4">
        <f t="shared" si="0"/>
        <v>3.7258064516129</v>
      </c>
      <c r="I11" s="4">
        <f t="shared" si="1"/>
        <v>3.7258064516129</v>
      </c>
      <c r="J11" s="7">
        <v>26</v>
      </c>
      <c r="K11" s="8">
        <v>122</v>
      </c>
      <c r="L11" s="4">
        <f t="shared" si="2"/>
        <v>4.69230769230769</v>
      </c>
      <c r="M11" s="2" t="s">
        <v>20</v>
      </c>
    </row>
    <row r="12" s="2" customFormat="1" spans="1:12">
      <c r="A12" s="2" t="s">
        <v>21</v>
      </c>
      <c r="B12" s="2" t="s">
        <v>10</v>
      </c>
      <c r="C12" s="9">
        <v>45771</v>
      </c>
      <c r="D12" s="2">
        <v>184</v>
      </c>
      <c r="E12" s="2">
        <v>177</v>
      </c>
      <c r="F12" s="2">
        <v>184</v>
      </c>
      <c r="G12" s="2">
        <v>177</v>
      </c>
      <c r="H12" s="4">
        <f t="shared" si="0"/>
        <v>0.96195652173913</v>
      </c>
      <c r="I12" s="4">
        <f t="shared" si="1"/>
        <v>0.96195652173913</v>
      </c>
      <c r="J12" s="7">
        <v>7</v>
      </c>
      <c r="K12" s="8">
        <v>6</v>
      </c>
      <c r="L12" s="4">
        <f t="shared" si="2"/>
        <v>0.857142857142857</v>
      </c>
    </row>
    <row r="13" s="2" customFormat="1" spans="1:12">
      <c r="A13" s="2" t="s">
        <v>22</v>
      </c>
      <c r="B13" s="2" t="s">
        <v>10</v>
      </c>
      <c r="C13" s="9">
        <v>45771</v>
      </c>
      <c r="D13" s="2">
        <v>156</v>
      </c>
      <c r="E13" s="2">
        <v>121</v>
      </c>
      <c r="F13" s="2">
        <v>156</v>
      </c>
      <c r="G13" s="2">
        <v>121</v>
      </c>
      <c r="H13" s="4">
        <f t="shared" si="0"/>
        <v>0.775641025641026</v>
      </c>
      <c r="I13" s="4">
        <f t="shared" si="1"/>
        <v>0.775641025641026</v>
      </c>
      <c r="J13" s="7">
        <v>19</v>
      </c>
      <c r="K13" s="8">
        <v>0</v>
      </c>
      <c r="L13" s="4">
        <f t="shared" si="2"/>
        <v>0</v>
      </c>
    </row>
    <row r="14" s="2" customFormat="1" spans="1:13">
      <c r="A14" s="2" t="s">
        <v>23</v>
      </c>
      <c r="B14" s="2" t="s">
        <v>10</v>
      </c>
      <c r="C14" s="9">
        <v>45770</v>
      </c>
      <c r="D14" s="2">
        <v>147</v>
      </c>
      <c r="E14" s="2">
        <v>493</v>
      </c>
      <c r="F14" s="2">
        <v>210</v>
      </c>
      <c r="G14" s="2">
        <v>685</v>
      </c>
      <c r="H14" s="4">
        <f t="shared" si="0"/>
        <v>3.35374149659864</v>
      </c>
      <c r="I14" s="4">
        <f t="shared" si="1"/>
        <v>3.26190476190476</v>
      </c>
      <c r="J14" s="7">
        <v>14</v>
      </c>
      <c r="K14" s="8">
        <v>4</v>
      </c>
      <c r="L14" s="4">
        <f t="shared" si="2"/>
        <v>0.285714285714286</v>
      </c>
      <c r="M14" s="2" t="s">
        <v>24</v>
      </c>
    </row>
    <row r="15" s="2" customFormat="1" spans="1:12">
      <c r="A15" s="2" t="s">
        <v>25</v>
      </c>
      <c r="B15" s="2" t="s">
        <v>10</v>
      </c>
      <c r="C15" s="9">
        <v>45770</v>
      </c>
      <c r="D15" s="2">
        <v>628</v>
      </c>
      <c r="E15" s="2">
        <v>161</v>
      </c>
      <c r="F15" s="2">
        <v>794</v>
      </c>
      <c r="G15" s="2">
        <v>397</v>
      </c>
      <c r="H15" s="4">
        <f t="shared" si="0"/>
        <v>0.256369426751592</v>
      </c>
      <c r="I15" s="4">
        <f t="shared" si="1"/>
        <v>0.5</v>
      </c>
      <c r="J15" s="7">
        <v>5</v>
      </c>
      <c r="K15" s="8">
        <v>0</v>
      </c>
      <c r="L15" s="4">
        <f t="shared" si="2"/>
        <v>0</v>
      </c>
    </row>
    <row r="16" s="2" customFormat="1" spans="1:12">
      <c r="A16" s="2" t="s">
        <v>26</v>
      </c>
      <c r="B16" s="2" t="s">
        <v>10</v>
      </c>
      <c r="C16" s="9">
        <v>45769</v>
      </c>
      <c r="D16" s="2">
        <v>44</v>
      </c>
      <c r="E16" s="2">
        <v>77</v>
      </c>
      <c r="F16" s="2">
        <v>141</v>
      </c>
      <c r="G16" s="2">
        <v>418</v>
      </c>
      <c r="H16" s="4">
        <f t="shared" si="0"/>
        <v>1.75</v>
      </c>
      <c r="I16" s="4">
        <f t="shared" si="1"/>
        <v>2.9645390070922</v>
      </c>
      <c r="J16" s="7">
        <v>0</v>
      </c>
      <c r="K16" s="8">
        <v>0</v>
      </c>
      <c r="L16" s="4">
        <f t="shared" si="2"/>
        <v>0</v>
      </c>
    </row>
    <row r="17" s="2" customFormat="1" spans="1:12">
      <c r="A17" s="2" t="s">
        <v>27</v>
      </c>
      <c r="B17" s="2" t="s">
        <v>10</v>
      </c>
      <c r="C17" s="9">
        <v>45769</v>
      </c>
      <c r="D17" s="2">
        <v>217</v>
      </c>
      <c r="E17" s="2">
        <v>14</v>
      </c>
      <c r="F17" s="2">
        <v>546</v>
      </c>
      <c r="G17" s="2">
        <v>334</v>
      </c>
      <c r="H17" s="4">
        <f t="shared" si="0"/>
        <v>0.0645161290322581</v>
      </c>
      <c r="I17" s="4">
        <f t="shared" si="1"/>
        <v>0.611721611721612</v>
      </c>
      <c r="J17" s="7">
        <v>16</v>
      </c>
      <c r="K17" s="8">
        <v>0</v>
      </c>
      <c r="L17" s="4">
        <f t="shared" si="2"/>
        <v>0</v>
      </c>
    </row>
    <row r="18" s="2" customFormat="1" spans="1:12">
      <c r="A18" s="2" t="s">
        <v>28</v>
      </c>
      <c r="B18" s="2" t="s">
        <v>10</v>
      </c>
      <c r="C18" s="9">
        <v>45768</v>
      </c>
      <c r="D18" s="2">
        <v>32</v>
      </c>
      <c r="E18" s="2">
        <v>12</v>
      </c>
      <c r="F18" s="2">
        <v>215</v>
      </c>
      <c r="G18" s="2">
        <v>603</v>
      </c>
      <c r="H18" s="4">
        <f t="shared" si="0"/>
        <v>0.375</v>
      </c>
      <c r="I18" s="4">
        <f t="shared" si="1"/>
        <v>2.8046511627907</v>
      </c>
      <c r="J18" s="7">
        <v>0</v>
      </c>
      <c r="K18" s="8">
        <v>0</v>
      </c>
      <c r="L18" s="4">
        <f t="shared" si="2"/>
        <v>0</v>
      </c>
    </row>
    <row r="19" s="2" customFormat="1" spans="1:13">
      <c r="A19" s="2" t="s">
        <v>29</v>
      </c>
      <c r="B19" s="2" t="s">
        <v>10</v>
      </c>
      <c r="C19" s="9">
        <v>45768</v>
      </c>
      <c r="D19" s="2">
        <v>47</v>
      </c>
      <c r="E19" s="2">
        <v>114</v>
      </c>
      <c r="F19" s="2">
        <v>142</v>
      </c>
      <c r="G19" s="2">
        <v>469</v>
      </c>
      <c r="H19" s="4">
        <f t="shared" si="0"/>
        <v>2.42553191489362</v>
      </c>
      <c r="I19" s="4">
        <f t="shared" si="1"/>
        <v>3.30281690140845</v>
      </c>
      <c r="J19" s="7">
        <v>0</v>
      </c>
      <c r="K19" s="8">
        <v>0</v>
      </c>
      <c r="L19" s="4">
        <f t="shared" si="2"/>
        <v>0</v>
      </c>
      <c r="M19" s="2" t="s">
        <v>30</v>
      </c>
    </row>
    <row r="20" s="2" customFormat="1" spans="1:12">
      <c r="A20" s="2" t="s">
        <v>31</v>
      </c>
      <c r="B20" s="2" t="s">
        <v>10</v>
      </c>
      <c r="C20" s="9">
        <v>45767</v>
      </c>
      <c r="D20" s="2">
        <v>321</v>
      </c>
      <c r="E20" s="2">
        <v>43</v>
      </c>
      <c r="F20" s="2">
        <v>1107</v>
      </c>
      <c r="G20" s="2">
        <v>290</v>
      </c>
      <c r="H20" s="4">
        <f t="shared" si="0"/>
        <v>0.133956386292835</v>
      </c>
      <c r="I20" s="4">
        <f t="shared" si="1"/>
        <v>0.26196928635953</v>
      </c>
      <c r="J20" s="7">
        <v>24</v>
      </c>
      <c r="K20" s="8">
        <v>0</v>
      </c>
      <c r="L20" s="4">
        <f t="shared" si="2"/>
        <v>0</v>
      </c>
    </row>
    <row r="21" s="2" customFormat="1" spans="1:12">
      <c r="A21" s="2" t="s">
        <v>32</v>
      </c>
      <c r="B21" s="2" t="s">
        <v>10</v>
      </c>
      <c r="C21" s="9">
        <v>45766</v>
      </c>
      <c r="D21" s="2">
        <v>192</v>
      </c>
      <c r="E21" s="2">
        <v>50</v>
      </c>
      <c r="F21" s="2">
        <v>849</v>
      </c>
      <c r="G21" s="2">
        <v>583</v>
      </c>
      <c r="H21" s="4">
        <f t="shared" si="0"/>
        <v>0.260416666666667</v>
      </c>
      <c r="I21" s="4">
        <f t="shared" si="1"/>
        <v>0.686690223792697</v>
      </c>
      <c r="J21" s="7">
        <v>12</v>
      </c>
      <c r="K21" s="8">
        <v>0</v>
      </c>
      <c r="L21" s="4">
        <f t="shared" si="2"/>
        <v>0</v>
      </c>
    </row>
    <row r="22" s="2" customFormat="1" spans="1:12">
      <c r="A22" s="2" t="s">
        <v>33</v>
      </c>
      <c r="B22" s="2" t="s">
        <v>10</v>
      </c>
      <c r="C22" s="9">
        <v>45766</v>
      </c>
      <c r="D22" s="2">
        <v>33</v>
      </c>
      <c r="E22" s="2">
        <v>12</v>
      </c>
      <c r="F22" s="2">
        <v>225</v>
      </c>
      <c r="G22" s="2">
        <v>285</v>
      </c>
      <c r="H22" s="4">
        <f t="shared" si="0"/>
        <v>0.363636363636364</v>
      </c>
      <c r="I22" s="4">
        <f t="shared" si="1"/>
        <v>1.26666666666667</v>
      </c>
      <c r="J22" s="7">
        <v>2</v>
      </c>
      <c r="K22" s="8">
        <v>0</v>
      </c>
      <c r="L22" s="4">
        <f t="shared" si="2"/>
        <v>0</v>
      </c>
    </row>
    <row r="23" s="2" customFormat="1" spans="1:12">
      <c r="A23" s="2" t="s">
        <v>34</v>
      </c>
      <c r="B23" s="2" t="s">
        <v>10</v>
      </c>
      <c r="C23" s="9">
        <v>45765</v>
      </c>
      <c r="D23" s="2">
        <v>31</v>
      </c>
      <c r="E23" s="2">
        <v>31</v>
      </c>
      <c r="F23" s="2">
        <v>401</v>
      </c>
      <c r="G23" s="2">
        <v>452</v>
      </c>
      <c r="H23" s="4">
        <f t="shared" si="0"/>
        <v>1</v>
      </c>
      <c r="I23" s="4">
        <f t="shared" si="1"/>
        <v>1.12718204488778</v>
      </c>
      <c r="J23" s="7">
        <v>0</v>
      </c>
      <c r="K23" s="8">
        <v>0</v>
      </c>
      <c r="L23" s="4">
        <f t="shared" si="2"/>
        <v>0</v>
      </c>
    </row>
    <row r="24" s="2" customFormat="1" spans="1:13">
      <c r="A24" s="2" t="s">
        <v>35</v>
      </c>
      <c r="B24" s="2" t="s">
        <v>10</v>
      </c>
      <c r="C24" s="9">
        <v>45765</v>
      </c>
      <c r="D24" s="2">
        <v>12</v>
      </c>
      <c r="E24" s="2">
        <v>32</v>
      </c>
      <c r="F24" s="2">
        <v>137</v>
      </c>
      <c r="G24" s="2">
        <v>816</v>
      </c>
      <c r="H24" s="4">
        <f t="shared" si="0"/>
        <v>2.66666666666667</v>
      </c>
      <c r="I24" s="4">
        <f t="shared" si="1"/>
        <v>5.95620437956204</v>
      </c>
      <c r="J24" s="7">
        <v>0</v>
      </c>
      <c r="K24" s="8">
        <v>0</v>
      </c>
      <c r="L24" s="4">
        <f t="shared" si="2"/>
        <v>0</v>
      </c>
      <c r="M24" s="2" t="s">
        <v>36</v>
      </c>
    </row>
    <row r="25" s="2" customFormat="1" spans="1:12">
      <c r="A25" s="2" t="s">
        <v>37</v>
      </c>
      <c r="B25" s="2" t="s">
        <v>10</v>
      </c>
      <c r="C25" s="9">
        <v>45764</v>
      </c>
      <c r="D25" s="2">
        <v>12</v>
      </c>
      <c r="E25" s="2">
        <v>7</v>
      </c>
      <c r="F25" s="2">
        <v>161</v>
      </c>
      <c r="G25" s="2">
        <v>541</v>
      </c>
      <c r="H25" s="4">
        <f t="shared" si="0"/>
        <v>0.583333333333333</v>
      </c>
      <c r="I25" s="4">
        <f t="shared" si="1"/>
        <v>3.36024844720497</v>
      </c>
      <c r="J25" s="7">
        <v>1</v>
      </c>
      <c r="K25" s="8">
        <v>0</v>
      </c>
      <c r="L25" s="4">
        <f t="shared" si="2"/>
        <v>0</v>
      </c>
    </row>
    <row r="26" s="2" customFormat="1" spans="1:12">
      <c r="A26" s="2" t="s">
        <v>38</v>
      </c>
      <c r="B26" s="2" t="s">
        <v>10</v>
      </c>
      <c r="C26" s="9">
        <v>45764</v>
      </c>
      <c r="D26" s="2">
        <v>74</v>
      </c>
      <c r="E26" s="2">
        <v>7</v>
      </c>
      <c r="F26" s="2">
        <v>342</v>
      </c>
      <c r="G26" s="2">
        <v>261</v>
      </c>
      <c r="H26" s="4">
        <f t="shared" si="0"/>
        <v>0.0945945945945946</v>
      </c>
      <c r="I26" s="4">
        <f t="shared" si="1"/>
        <v>0.763157894736842</v>
      </c>
      <c r="J26" s="7">
        <v>7</v>
      </c>
      <c r="K26" s="8">
        <v>0</v>
      </c>
      <c r="L26" s="4">
        <f t="shared" si="2"/>
        <v>0</v>
      </c>
    </row>
    <row r="27" s="2" customFormat="1" spans="1:12">
      <c r="A27" s="2" t="s">
        <v>39</v>
      </c>
      <c r="B27" s="2" t="s">
        <v>10</v>
      </c>
      <c r="C27" s="9">
        <v>45763</v>
      </c>
      <c r="D27" s="2">
        <v>72</v>
      </c>
      <c r="E27" s="2">
        <v>4</v>
      </c>
      <c r="F27" s="2">
        <v>648</v>
      </c>
      <c r="G27" s="2">
        <v>370</v>
      </c>
      <c r="H27" s="4">
        <f t="shared" si="0"/>
        <v>0.0555555555555556</v>
      </c>
      <c r="I27" s="4">
        <f t="shared" si="1"/>
        <v>0.570987654320988</v>
      </c>
      <c r="J27" s="7">
        <v>0</v>
      </c>
      <c r="K27" s="8">
        <v>0</v>
      </c>
      <c r="L27" s="4">
        <f t="shared" si="2"/>
        <v>0</v>
      </c>
    </row>
    <row r="28" s="2" customFormat="1" spans="1:13">
      <c r="A28" s="2" t="s">
        <v>40</v>
      </c>
      <c r="B28" s="2" t="s">
        <v>10</v>
      </c>
      <c r="C28" s="9">
        <v>45763</v>
      </c>
      <c r="D28" s="2">
        <v>4</v>
      </c>
      <c r="E28" s="2">
        <v>4</v>
      </c>
      <c r="F28" s="2">
        <v>130</v>
      </c>
      <c r="G28" s="2">
        <v>198</v>
      </c>
      <c r="H28" s="4">
        <f t="shared" si="0"/>
        <v>1</v>
      </c>
      <c r="I28" s="4">
        <f t="shared" si="1"/>
        <v>1.52307692307692</v>
      </c>
      <c r="J28" s="18">
        <v>4</v>
      </c>
      <c r="K28" s="19">
        <v>4</v>
      </c>
      <c r="L28" s="4">
        <f t="shared" si="2"/>
        <v>1</v>
      </c>
      <c r="M28" s="2" t="s">
        <v>41</v>
      </c>
    </row>
    <row r="29" s="2" customFormat="1" spans="1:13">
      <c r="A29" s="2" t="s">
        <v>42</v>
      </c>
      <c r="B29" s="2" t="s">
        <v>10</v>
      </c>
      <c r="C29" s="9">
        <v>45762</v>
      </c>
      <c r="D29" s="2">
        <v>13</v>
      </c>
      <c r="E29" s="2">
        <v>6</v>
      </c>
      <c r="F29" s="2">
        <v>595</v>
      </c>
      <c r="G29" s="2">
        <v>641</v>
      </c>
      <c r="H29" s="4">
        <f t="shared" si="0"/>
        <v>0.461538461538462</v>
      </c>
      <c r="I29" s="4">
        <f t="shared" si="1"/>
        <v>1.07731092436975</v>
      </c>
      <c r="J29" s="7">
        <v>13</v>
      </c>
      <c r="K29" s="8">
        <v>6</v>
      </c>
      <c r="L29" s="4">
        <f t="shared" si="2"/>
        <v>0.461538461538462</v>
      </c>
      <c r="M29" s="2" t="s">
        <v>43</v>
      </c>
    </row>
    <row r="30" s="2" customFormat="1" spans="1:13">
      <c r="A30" s="2" t="s">
        <v>44</v>
      </c>
      <c r="B30" s="2" t="s">
        <v>10</v>
      </c>
      <c r="C30" s="9">
        <v>45761</v>
      </c>
      <c r="D30" s="2">
        <v>37</v>
      </c>
      <c r="E30" s="2">
        <v>6</v>
      </c>
      <c r="F30" s="2">
        <v>1054</v>
      </c>
      <c r="G30" s="2">
        <v>913</v>
      </c>
      <c r="H30" s="4">
        <f t="shared" si="0"/>
        <v>0.162162162162162</v>
      </c>
      <c r="I30" s="4">
        <f t="shared" si="1"/>
        <v>0.866223908918406</v>
      </c>
      <c r="J30" s="7">
        <v>37</v>
      </c>
      <c r="K30" s="8">
        <v>6</v>
      </c>
      <c r="L30" s="4">
        <f t="shared" si="2"/>
        <v>0.162162162162162</v>
      </c>
      <c r="M30" s="2" t="s">
        <v>45</v>
      </c>
    </row>
    <row r="31" s="2" customFormat="1" spans="1:13">
      <c r="A31" s="2" t="s">
        <v>46</v>
      </c>
      <c r="B31" s="2" t="s">
        <v>10</v>
      </c>
      <c r="C31" s="9">
        <v>45757</v>
      </c>
      <c r="D31" s="2">
        <v>17</v>
      </c>
      <c r="E31" s="2">
        <v>6</v>
      </c>
      <c r="F31" s="2">
        <v>624</v>
      </c>
      <c r="G31" s="2">
        <v>763</v>
      </c>
      <c r="H31" s="4">
        <f t="shared" si="0"/>
        <v>0.352941176470588</v>
      </c>
      <c r="I31" s="4">
        <f t="shared" si="1"/>
        <v>1.22275641025641</v>
      </c>
      <c r="J31" s="7">
        <v>0</v>
      </c>
      <c r="K31" s="8">
        <v>0</v>
      </c>
      <c r="L31" s="4">
        <f t="shared" si="2"/>
        <v>0</v>
      </c>
      <c r="M31" s="2" t="s">
        <v>47</v>
      </c>
    </row>
    <row r="32" s="2" customFormat="1" spans="1:13">
      <c r="A32" s="2" t="s">
        <v>48</v>
      </c>
      <c r="B32" s="2" t="s">
        <v>10</v>
      </c>
      <c r="C32" s="9">
        <v>45750</v>
      </c>
      <c r="D32" s="2">
        <v>9</v>
      </c>
      <c r="E32" s="2">
        <v>12</v>
      </c>
      <c r="F32" s="2">
        <v>225</v>
      </c>
      <c r="G32" s="2">
        <v>542</v>
      </c>
      <c r="H32" s="4">
        <f t="shared" si="0"/>
        <v>1.33333333333333</v>
      </c>
      <c r="I32" s="4">
        <f t="shared" si="1"/>
        <v>2.40888888888889</v>
      </c>
      <c r="J32" s="7">
        <v>9</v>
      </c>
      <c r="K32" s="8">
        <v>12</v>
      </c>
      <c r="L32" s="4">
        <f t="shared" si="2"/>
        <v>1.33333333333333</v>
      </c>
      <c r="M32" s="2" t="s">
        <v>49</v>
      </c>
    </row>
    <row r="33" s="2" customFormat="1" spans="1:13">
      <c r="A33" s="2" t="s">
        <v>50</v>
      </c>
      <c r="B33" s="2" t="s">
        <v>10</v>
      </c>
      <c r="C33" s="9">
        <v>45748</v>
      </c>
      <c r="D33" s="2">
        <v>57</v>
      </c>
      <c r="E33" s="2">
        <v>23</v>
      </c>
      <c r="F33" s="2">
        <v>224460</v>
      </c>
      <c r="G33" s="2">
        <v>10593</v>
      </c>
      <c r="H33" s="4">
        <f t="shared" si="0"/>
        <v>0.403508771929825</v>
      </c>
      <c r="I33" s="4">
        <f t="shared" si="1"/>
        <v>0.0471932638331997</v>
      </c>
      <c r="J33" s="7">
        <v>1</v>
      </c>
      <c r="K33" s="8">
        <v>0</v>
      </c>
      <c r="L33" s="4">
        <f t="shared" si="2"/>
        <v>0</v>
      </c>
      <c r="M33" s="2" t="s">
        <v>51</v>
      </c>
    </row>
    <row r="34" s="2" customFormat="1" spans="1:13">
      <c r="A34" s="2" t="s">
        <v>52</v>
      </c>
      <c r="B34" s="2" t="s">
        <v>10</v>
      </c>
      <c r="C34" s="9">
        <v>45743</v>
      </c>
      <c r="D34" s="2">
        <v>170</v>
      </c>
      <c r="E34" s="2">
        <v>10</v>
      </c>
      <c r="F34" s="2">
        <v>4876</v>
      </c>
      <c r="G34" s="2">
        <v>1986</v>
      </c>
      <c r="H34" s="4">
        <f t="shared" si="0"/>
        <v>0.0588235294117647</v>
      </c>
      <c r="I34" s="4">
        <f t="shared" si="1"/>
        <v>0.407301066447908</v>
      </c>
      <c r="J34" s="7">
        <v>170</v>
      </c>
      <c r="K34" s="8">
        <v>10</v>
      </c>
      <c r="L34" s="4">
        <f t="shared" si="2"/>
        <v>0.0588235294117647</v>
      </c>
      <c r="M34" s="2" t="s">
        <v>53</v>
      </c>
    </row>
    <row r="35" s="2" customFormat="1" spans="1:13">
      <c r="A35" s="2" t="s">
        <v>54</v>
      </c>
      <c r="B35" s="2" t="s">
        <v>10</v>
      </c>
      <c r="C35" s="9">
        <v>45741</v>
      </c>
      <c r="D35" s="2">
        <v>127</v>
      </c>
      <c r="E35" s="2">
        <v>10</v>
      </c>
      <c r="F35" s="2">
        <v>1193</v>
      </c>
      <c r="G35" s="2">
        <v>677</v>
      </c>
      <c r="H35" s="4">
        <f t="shared" si="0"/>
        <v>0.078740157480315</v>
      </c>
      <c r="I35" s="4">
        <f t="shared" si="1"/>
        <v>0.567476948868399</v>
      </c>
      <c r="J35" s="7">
        <v>13</v>
      </c>
      <c r="K35" s="8">
        <v>0</v>
      </c>
      <c r="L35" s="4">
        <f t="shared" si="2"/>
        <v>0</v>
      </c>
      <c r="M35" s="13" t="s">
        <v>55</v>
      </c>
    </row>
    <row r="36" s="2" customFormat="1" spans="1:13">
      <c r="A36" s="2" t="s">
        <v>56</v>
      </c>
      <c r="B36" s="2" t="s">
        <v>10</v>
      </c>
      <c r="C36" s="9">
        <v>45734</v>
      </c>
      <c r="D36" s="2">
        <v>41</v>
      </c>
      <c r="E36" s="2">
        <v>5</v>
      </c>
      <c r="F36" s="2">
        <v>488</v>
      </c>
      <c r="G36" s="2">
        <v>670</v>
      </c>
      <c r="H36" s="4">
        <f t="shared" si="0"/>
        <v>0.121951219512195</v>
      </c>
      <c r="I36" s="4">
        <f t="shared" si="1"/>
        <v>1.37295081967213</v>
      </c>
      <c r="J36" s="7">
        <v>4</v>
      </c>
      <c r="K36" s="8">
        <v>0</v>
      </c>
      <c r="L36" s="4">
        <f t="shared" si="2"/>
        <v>0</v>
      </c>
      <c r="M36" s="2" t="s">
        <v>57</v>
      </c>
    </row>
    <row r="37" s="2" customFormat="1" spans="1:13">
      <c r="A37" s="2" t="s">
        <v>58</v>
      </c>
      <c r="B37" s="2" t="s">
        <v>10</v>
      </c>
      <c r="C37" s="9">
        <v>45719</v>
      </c>
      <c r="D37" s="2">
        <v>8</v>
      </c>
      <c r="E37" s="2">
        <v>10</v>
      </c>
      <c r="F37" s="2">
        <v>377</v>
      </c>
      <c r="G37" s="2">
        <v>657</v>
      </c>
      <c r="H37" s="4">
        <f t="shared" si="0"/>
        <v>1.25</v>
      </c>
      <c r="I37" s="4">
        <f t="shared" si="1"/>
        <v>1.74270557029178</v>
      </c>
      <c r="J37" s="7">
        <v>8</v>
      </c>
      <c r="K37" s="8">
        <v>10</v>
      </c>
      <c r="L37" s="4">
        <f t="shared" si="2"/>
        <v>1.25</v>
      </c>
      <c r="M37" s="2" t="s">
        <v>59</v>
      </c>
    </row>
    <row r="38" s="2" customFormat="1" spans="1:13">
      <c r="A38" s="2" t="s">
        <v>60</v>
      </c>
      <c r="B38" s="2" t="s">
        <v>10</v>
      </c>
      <c r="C38" s="9">
        <v>45713</v>
      </c>
      <c r="D38" s="2">
        <v>10</v>
      </c>
      <c r="E38" s="2">
        <v>31</v>
      </c>
      <c r="F38" s="2">
        <v>225</v>
      </c>
      <c r="G38" s="2">
        <v>589</v>
      </c>
      <c r="H38" s="4">
        <f t="shared" si="0"/>
        <v>3.1</v>
      </c>
      <c r="I38" s="4">
        <f t="shared" si="1"/>
        <v>2.61777777777778</v>
      </c>
      <c r="J38" s="7">
        <v>10</v>
      </c>
      <c r="K38" s="8">
        <v>31</v>
      </c>
      <c r="L38" s="4">
        <f t="shared" si="2"/>
        <v>3.1</v>
      </c>
      <c r="M38" s="2" t="s">
        <v>61</v>
      </c>
    </row>
    <row r="39" s="2" customFormat="1" spans="1:13">
      <c r="A39" s="2" t="s">
        <v>62</v>
      </c>
      <c r="B39" s="2" t="s">
        <v>10</v>
      </c>
      <c r="C39" s="9">
        <v>45691</v>
      </c>
      <c r="D39" s="2">
        <v>41</v>
      </c>
      <c r="E39" s="2">
        <v>5</v>
      </c>
      <c r="F39" s="2">
        <v>317</v>
      </c>
      <c r="G39" s="2">
        <v>36</v>
      </c>
      <c r="H39" s="4">
        <f t="shared" si="0"/>
        <v>0.121951219512195</v>
      </c>
      <c r="I39" s="4">
        <f t="shared" si="1"/>
        <v>0.113564668769716</v>
      </c>
      <c r="J39" s="7">
        <v>7</v>
      </c>
      <c r="K39" s="8">
        <v>0</v>
      </c>
      <c r="L39" s="4">
        <f t="shared" si="2"/>
        <v>0</v>
      </c>
      <c r="M39" s="2" t="s">
        <v>63</v>
      </c>
    </row>
    <row r="40" s="2" customFormat="1" spans="1:13">
      <c r="A40" s="2" t="s">
        <v>64</v>
      </c>
      <c r="B40" s="2" t="s">
        <v>10</v>
      </c>
      <c r="C40" s="9">
        <v>45598</v>
      </c>
      <c r="D40" s="2">
        <v>65</v>
      </c>
      <c r="E40" s="2">
        <v>2</v>
      </c>
      <c r="F40" s="2">
        <v>1262</v>
      </c>
      <c r="G40" s="2">
        <v>789</v>
      </c>
      <c r="H40" s="4">
        <f t="shared" si="0"/>
        <v>0.0307692307692308</v>
      </c>
      <c r="I40" s="4">
        <f t="shared" si="1"/>
        <v>0.625198098256735</v>
      </c>
      <c r="J40" s="7">
        <v>8</v>
      </c>
      <c r="K40" s="8">
        <v>0</v>
      </c>
      <c r="L40" s="4">
        <f t="shared" si="2"/>
        <v>0</v>
      </c>
      <c r="M40" s="2" t="s">
        <v>65</v>
      </c>
    </row>
    <row r="41" spans="11:11">
      <c r="K41" s="2">
        <f>SUM(K2:K40)</f>
        <v>931</v>
      </c>
    </row>
    <row r="46" customForma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8"/>
  <sheetViews>
    <sheetView zoomScaleSheetLayoutView="60" topLeftCell="A13" workbookViewId="0">
      <selection activeCell="A31" sqref="$A31:$XFD37"/>
    </sheetView>
  </sheetViews>
  <sheetFormatPr defaultColWidth="10" defaultRowHeight="14.4"/>
  <cols>
    <col min="1" max="1" width="43.6666666666667" customWidth="1"/>
    <col min="2" max="2" width="10" hidden="1" customWidth="1"/>
    <col min="3" max="3" width="10.7777777777778"/>
    <col min="4" max="7" width="5.77777777777778" customWidth="1"/>
    <col min="8" max="9" width="6.77777777777778" style="2" customWidth="1"/>
    <col min="10" max="10" width="7.66666666666667" style="2" customWidth="1"/>
    <col min="11" max="12" width="6.77777777777778" style="2" customWidth="1"/>
    <col min="13" max="13" width="18.6666666666667" style="2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s="5" t="s">
        <v>7</v>
      </c>
      <c r="K1" s="5" t="s">
        <v>8</v>
      </c>
    </row>
    <row r="2" spans="1:12">
      <c r="A2" t="s">
        <v>66</v>
      </c>
      <c r="B2" t="s">
        <v>10</v>
      </c>
      <c r="C2" s="14">
        <v>45778</v>
      </c>
      <c r="D2">
        <v>282</v>
      </c>
      <c r="E2">
        <v>126</v>
      </c>
      <c r="F2">
        <v>282</v>
      </c>
      <c r="G2">
        <v>126</v>
      </c>
      <c r="H2" s="4">
        <f t="shared" ref="H2:H40" si="0">E2/D2</f>
        <v>0.446808510638298</v>
      </c>
      <c r="I2" s="4">
        <f t="shared" ref="I2:I40" si="1">G2/F2</f>
        <v>0.446808510638298</v>
      </c>
      <c r="J2" s="7">
        <f ca="1">F2-IFERROR(VLOOKUP($A2,'0501'!$A$1:'0501'!G$48,6,FALSE),IFERROR(VLOOKUP($C2,'0501'!$C$1:'0501'!G$48,4,FALSE),F2-D2))</f>
        <v>282</v>
      </c>
      <c r="K2" s="8">
        <f ca="1">G2-IFERROR(VLOOKUP($A2,'0501'!$A$1:'0501'!H$44,7,FALSE),IFERROR(VLOOKUP($C2,'0501'!$C$1:'0501'!H$44,5,FALSE),G2-E2))</f>
        <v>126</v>
      </c>
      <c r="L2" s="4">
        <f ca="1" t="shared" ref="L2:L40" si="2">IFERROR(K2/J2,)</f>
        <v>0.446808510638298</v>
      </c>
    </row>
    <row r="3" spans="1:12">
      <c r="A3" t="s">
        <v>9</v>
      </c>
      <c r="B3" t="s">
        <v>10</v>
      </c>
      <c r="C3" s="14">
        <v>45777</v>
      </c>
      <c r="D3">
        <v>143</v>
      </c>
      <c r="E3">
        <v>276</v>
      </c>
      <c r="F3">
        <v>143</v>
      </c>
      <c r="G3">
        <v>276</v>
      </c>
      <c r="H3" s="4">
        <f t="shared" si="0"/>
        <v>1.93006993006993</v>
      </c>
      <c r="I3" s="4">
        <f t="shared" si="1"/>
        <v>1.93006993006993</v>
      </c>
      <c r="J3" s="7">
        <f ca="1">F3-IFERROR(VLOOKUP($A3,'0501'!$A$1:'0501'!G$48,6,FALSE),IFERROR(VLOOKUP($C3,'0501'!$C$1:'0501'!G$48,4,FALSE),F3-D3))</f>
        <v>51</v>
      </c>
      <c r="K3" s="8">
        <f ca="1">G3-IFERROR(VLOOKUP($A3,'0501'!$A$1:'0501'!H$44,7,FALSE),IFERROR(VLOOKUP($C3,'0501'!$C$1:'0501'!H$44,5,FALSE),G3-E3))</f>
        <v>50</v>
      </c>
      <c r="L3" s="4">
        <f ca="1" t="shared" si="2"/>
        <v>0.980392156862745</v>
      </c>
    </row>
    <row r="4" spans="1:13">
      <c r="A4" t="s">
        <v>11</v>
      </c>
      <c r="B4" t="s">
        <v>10</v>
      </c>
      <c r="C4" s="14">
        <v>45777</v>
      </c>
      <c r="D4">
        <v>78</v>
      </c>
      <c r="E4">
        <v>210</v>
      </c>
      <c r="F4">
        <v>78</v>
      </c>
      <c r="G4">
        <v>210</v>
      </c>
      <c r="H4" s="4">
        <f t="shared" si="0"/>
        <v>2.69230769230769</v>
      </c>
      <c r="I4" s="4">
        <f t="shared" si="1"/>
        <v>2.69230769230769</v>
      </c>
      <c r="J4" s="7">
        <f ca="1">F4-IFERROR(VLOOKUP($A4,'0501'!$A$1:'0501'!G$48,6,FALSE),IFERROR(VLOOKUP($C4,'0501'!$C$1:'0501'!G$48,4,FALSE),F4-D4))</f>
        <v>17</v>
      </c>
      <c r="K4" s="8">
        <f ca="1">G4-IFERROR(VLOOKUP($A4,'0501'!$A$1:'0501'!H$44,7,FALSE),IFERROR(VLOOKUP($C4,'0501'!$C$1:'0501'!H$44,5,FALSE),G4-E4))</f>
        <v>45</v>
      </c>
      <c r="L4" s="4">
        <f ca="1" t="shared" si="2"/>
        <v>2.64705882352941</v>
      </c>
      <c r="M4" s="2" t="s">
        <v>67</v>
      </c>
    </row>
    <row r="5" spans="1:12">
      <c r="A5" t="s">
        <v>12</v>
      </c>
      <c r="B5" t="s">
        <v>10</v>
      </c>
      <c r="C5" s="14">
        <v>45776</v>
      </c>
      <c r="D5">
        <v>445</v>
      </c>
      <c r="E5">
        <v>389</v>
      </c>
      <c r="F5">
        <v>445</v>
      </c>
      <c r="G5">
        <v>389</v>
      </c>
      <c r="H5" s="4">
        <f t="shared" si="0"/>
        <v>0.874157303370787</v>
      </c>
      <c r="I5" s="4">
        <f t="shared" si="1"/>
        <v>0.874157303370787</v>
      </c>
      <c r="J5" s="7">
        <f ca="1">F5-IFERROR(VLOOKUP($A5,'0501'!$A$1:'0501'!G$48,6,FALSE),IFERROR(VLOOKUP($C5,'0501'!$C$1:'0501'!G$48,4,FALSE),F5-D5))</f>
        <v>95</v>
      </c>
      <c r="K5" s="8">
        <f ca="1">G5-IFERROR(VLOOKUP($A5,'0501'!$A$1:'0501'!H$44,7,FALSE),IFERROR(VLOOKUP($C5,'0501'!$C$1:'0501'!H$44,5,FALSE),G5-E5))</f>
        <v>21</v>
      </c>
      <c r="L5" s="4">
        <f ca="1" t="shared" si="2"/>
        <v>0.221052631578947</v>
      </c>
    </row>
    <row r="6" spans="1:12">
      <c r="A6" t="s">
        <v>13</v>
      </c>
      <c r="B6" t="s">
        <v>10</v>
      </c>
      <c r="C6" s="14">
        <v>45775</v>
      </c>
      <c r="D6">
        <v>219</v>
      </c>
      <c r="E6">
        <v>294</v>
      </c>
      <c r="F6">
        <v>219</v>
      </c>
      <c r="G6">
        <v>294</v>
      </c>
      <c r="H6" s="4">
        <f t="shared" si="0"/>
        <v>1.34246575342466</v>
      </c>
      <c r="I6" s="4">
        <f t="shared" si="1"/>
        <v>1.34246575342466</v>
      </c>
      <c r="J6" s="7">
        <f ca="1">F6-IFERROR(VLOOKUP($A6,'0501'!$A$1:'0501'!G$48,6,FALSE),IFERROR(VLOOKUP($C6,'0501'!$C$1:'0501'!G$48,4,FALSE),F6-D6))</f>
        <v>19</v>
      </c>
      <c r="K6" s="8">
        <f ca="1">G6-IFERROR(VLOOKUP($A6,'0501'!$A$1:'0501'!H$44,7,FALSE),IFERROR(VLOOKUP($C6,'0501'!$C$1:'0501'!H$44,5,FALSE),G6-E6))</f>
        <v>17</v>
      </c>
      <c r="L6" s="4">
        <f ca="1" t="shared" si="2"/>
        <v>0.894736842105263</v>
      </c>
    </row>
    <row r="7" spans="1:12">
      <c r="A7" t="s">
        <v>14</v>
      </c>
      <c r="B7" t="s">
        <v>10</v>
      </c>
      <c r="C7" s="14">
        <v>45775</v>
      </c>
      <c r="D7">
        <v>135</v>
      </c>
      <c r="E7">
        <v>304</v>
      </c>
      <c r="F7">
        <v>135</v>
      </c>
      <c r="G7">
        <v>304</v>
      </c>
      <c r="H7" s="4">
        <f t="shared" si="0"/>
        <v>2.25185185185185</v>
      </c>
      <c r="I7" s="4">
        <f t="shared" si="1"/>
        <v>2.25185185185185</v>
      </c>
      <c r="J7" s="7">
        <f ca="1">F7-IFERROR(VLOOKUP($A7,'0501'!$A$1:'0501'!G$48,6,FALSE),IFERROR(VLOOKUP($C7,'0501'!$C$1:'0501'!G$48,4,FALSE),F7-D7))</f>
        <v>2</v>
      </c>
      <c r="K7" s="8">
        <f ca="1">G7-IFERROR(VLOOKUP($A7,'0501'!$A$1:'0501'!H$44,7,FALSE),IFERROR(VLOOKUP($C7,'0501'!$C$1:'0501'!H$44,5,FALSE),G7-E7))</f>
        <v>0</v>
      </c>
      <c r="L7" s="4">
        <f ca="1" t="shared" si="2"/>
        <v>0</v>
      </c>
    </row>
    <row r="8" spans="1:12">
      <c r="A8" t="s">
        <v>15</v>
      </c>
      <c r="B8" t="s">
        <v>10</v>
      </c>
      <c r="C8" s="14">
        <v>45774</v>
      </c>
      <c r="D8">
        <v>140</v>
      </c>
      <c r="E8">
        <v>216</v>
      </c>
      <c r="F8">
        <v>140</v>
      </c>
      <c r="G8">
        <v>216</v>
      </c>
      <c r="H8" s="4">
        <f t="shared" si="0"/>
        <v>1.54285714285714</v>
      </c>
      <c r="I8" s="4">
        <f t="shared" si="1"/>
        <v>1.54285714285714</v>
      </c>
      <c r="J8" s="7">
        <f ca="1">F8-IFERROR(VLOOKUP($A8,'0501'!$A$1:'0501'!G$48,6,FALSE),IFERROR(VLOOKUP($C8,'0501'!$C$1:'0501'!G$48,4,FALSE),F8-D8))</f>
        <v>4</v>
      </c>
      <c r="K8" s="8">
        <f ca="1">G8-IFERROR(VLOOKUP($A8,'0501'!$A$1:'0501'!H$44,7,FALSE),IFERROR(VLOOKUP($C8,'0501'!$C$1:'0501'!H$44,5,FALSE),G8-E8))</f>
        <v>0</v>
      </c>
      <c r="L8" s="4">
        <f ca="1" t="shared" si="2"/>
        <v>0</v>
      </c>
    </row>
    <row r="9" spans="1:12">
      <c r="A9" t="s">
        <v>16</v>
      </c>
      <c r="B9" t="s">
        <v>10</v>
      </c>
      <c r="C9" s="14">
        <v>45774</v>
      </c>
      <c r="D9">
        <v>385</v>
      </c>
      <c r="E9">
        <v>367</v>
      </c>
      <c r="F9">
        <v>385</v>
      </c>
      <c r="G9">
        <v>367</v>
      </c>
      <c r="H9" s="4">
        <f t="shared" si="0"/>
        <v>0.953246753246753</v>
      </c>
      <c r="I9" s="4">
        <f t="shared" si="1"/>
        <v>0.953246753246753</v>
      </c>
      <c r="J9" s="7">
        <f ca="1">F9-IFERROR(VLOOKUP($A9,'0501'!$A$1:'0501'!G$48,6,FALSE),IFERROR(VLOOKUP($C9,'0501'!$C$1:'0501'!G$48,4,FALSE),F9-D9))</f>
        <v>13</v>
      </c>
      <c r="K9" s="8">
        <f ca="1">G9-IFERROR(VLOOKUP($A9,'0501'!$A$1:'0501'!H$44,7,FALSE),IFERROR(VLOOKUP($C9,'0501'!$C$1:'0501'!H$44,5,FALSE),G9-E9))</f>
        <v>4</v>
      </c>
      <c r="L9" s="4">
        <f ca="1" t="shared" si="2"/>
        <v>0.307692307692308</v>
      </c>
    </row>
    <row r="10" spans="1:12">
      <c r="A10" t="s">
        <v>17</v>
      </c>
      <c r="B10" t="s">
        <v>10</v>
      </c>
      <c r="C10" s="14">
        <v>45773</v>
      </c>
      <c r="D10">
        <v>138</v>
      </c>
      <c r="E10">
        <v>190</v>
      </c>
      <c r="F10">
        <v>138</v>
      </c>
      <c r="G10">
        <v>190</v>
      </c>
      <c r="H10" s="4">
        <f t="shared" si="0"/>
        <v>1.3768115942029</v>
      </c>
      <c r="I10" s="4">
        <f t="shared" si="1"/>
        <v>1.3768115942029</v>
      </c>
      <c r="J10" s="7">
        <f ca="1">F10-IFERROR(VLOOKUP($A10,'0501'!$A$1:'0501'!G$48,6,FALSE),IFERROR(VLOOKUP($C10,'0501'!$C$1:'0501'!G$48,4,FALSE),F10-D10))</f>
        <v>4</v>
      </c>
      <c r="K10" s="8">
        <f ca="1">G10-IFERROR(VLOOKUP($A10,'0501'!$A$1:'0501'!H$44,7,FALSE),IFERROR(VLOOKUP($C10,'0501'!$C$1:'0501'!H$44,5,FALSE),G10-E10))</f>
        <v>0</v>
      </c>
      <c r="L10" s="4">
        <f ca="1" t="shared" si="2"/>
        <v>0</v>
      </c>
    </row>
    <row r="11" spans="1:12">
      <c r="A11" t="s">
        <v>18</v>
      </c>
      <c r="B11" t="s">
        <v>10</v>
      </c>
      <c r="C11" s="14">
        <v>45773</v>
      </c>
      <c r="D11">
        <v>217</v>
      </c>
      <c r="E11">
        <v>247</v>
      </c>
      <c r="F11">
        <v>217</v>
      </c>
      <c r="G11">
        <v>247</v>
      </c>
      <c r="H11" s="4">
        <f t="shared" si="0"/>
        <v>1.13824884792627</v>
      </c>
      <c r="I11" s="4">
        <f t="shared" si="1"/>
        <v>1.13824884792627</v>
      </c>
      <c r="J11" s="7">
        <f ca="1">F11-IFERROR(VLOOKUP($A11,'0501'!$A$1:'0501'!G$48,6,FALSE),IFERROR(VLOOKUP($C11,'0501'!$C$1:'0501'!G$48,4,FALSE),F11-D11))</f>
        <v>2</v>
      </c>
      <c r="K11" s="8">
        <f ca="1">G11-IFERROR(VLOOKUP($A11,'0501'!$A$1:'0501'!H$44,7,FALSE),IFERROR(VLOOKUP($C11,'0501'!$C$1:'0501'!H$44,5,FALSE),G11-E11))</f>
        <v>6</v>
      </c>
      <c r="L11" s="4">
        <f ca="1" t="shared" si="2"/>
        <v>3</v>
      </c>
    </row>
    <row r="12" spans="1:13">
      <c r="A12" t="s">
        <v>19</v>
      </c>
      <c r="B12" t="s">
        <v>10</v>
      </c>
      <c r="C12" s="14">
        <v>45772</v>
      </c>
      <c r="D12">
        <v>140</v>
      </c>
      <c r="E12">
        <v>519</v>
      </c>
      <c r="F12">
        <v>140</v>
      </c>
      <c r="G12">
        <v>519</v>
      </c>
      <c r="H12" s="4">
        <f t="shared" si="0"/>
        <v>3.70714285714286</v>
      </c>
      <c r="I12" s="4">
        <f t="shared" si="1"/>
        <v>3.70714285714286</v>
      </c>
      <c r="J12" s="7">
        <f ca="1">F12-IFERROR(VLOOKUP($A12,'0501'!$A$1:'0501'!G$48,6,FALSE),IFERROR(VLOOKUP($C12,'0501'!$C$1:'0501'!G$48,4,FALSE),F12-D12))</f>
        <v>16</v>
      </c>
      <c r="K12" s="8">
        <f ca="1">G12-IFERROR(VLOOKUP($A12,'0501'!$A$1:'0501'!H$44,7,FALSE),IFERROR(VLOOKUP($C12,'0501'!$C$1:'0501'!H$44,5,FALSE),G12-E12))</f>
        <v>57</v>
      </c>
      <c r="L12" s="4">
        <f ca="1" t="shared" si="2"/>
        <v>3.5625</v>
      </c>
      <c r="M12" s="2" t="s">
        <v>20</v>
      </c>
    </row>
    <row r="13" spans="1:12">
      <c r="A13" t="s">
        <v>21</v>
      </c>
      <c r="B13" t="s">
        <v>10</v>
      </c>
      <c r="C13" s="14">
        <v>45771</v>
      </c>
      <c r="D13">
        <v>155</v>
      </c>
      <c r="E13">
        <v>89</v>
      </c>
      <c r="F13">
        <v>187</v>
      </c>
      <c r="G13">
        <v>183</v>
      </c>
      <c r="H13" s="4">
        <f t="shared" si="0"/>
        <v>0.574193548387097</v>
      </c>
      <c r="I13" s="4">
        <f t="shared" si="1"/>
        <v>0.978609625668449</v>
      </c>
      <c r="J13" s="7">
        <f ca="1">F13-IFERROR(VLOOKUP($A13,'0501'!$A$1:'0501'!G$48,6,FALSE),IFERROR(VLOOKUP($C13,'0501'!$C$1:'0501'!G$48,4,FALSE),F13-D13))</f>
        <v>3</v>
      </c>
      <c r="K13" s="8">
        <f ca="1">G13-IFERROR(VLOOKUP($A13,'0501'!$A$1:'0501'!H$44,7,FALSE),IFERROR(VLOOKUP($C13,'0501'!$C$1:'0501'!H$44,5,FALSE),G13-E13))</f>
        <v>6</v>
      </c>
      <c r="L13" s="4">
        <f ca="1" t="shared" si="2"/>
        <v>2</v>
      </c>
    </row>
    <row r="14" spans="1:12">
      <c r="A14" t="s">
        <v>22</v>
      </c>
      <c r="B14" t="s">
        <v>10</v>
      </c>
      <c r="C14" s="14">
        <v>45771</v>
      </c>
      <c r="D14">
        <v>78</v>
      </c>
      <c r="E14">
        <v>50</v>
      </c>
      <c r="F14">
        <v>163</v>
      </c>
      <c r="G14">
        <v>121</v>
      </c>
      <c r="H14" s="4">
        <f t="shared" si="0"/>
        <v>0.641025641025641</v>
      </c>
      <c r="I14" s="4">
        <f t="shared" si="1"/>
        <v>0.742331288343558</v>
      </c>
      <c r="J14" s="7">
        <f ca="1">F14-IFERROR(VLOOKUP($A14,'0501'!$A$1:'0501'!G$48,6,FALSE),IFERROR(VLOOKUP($C14,'0501'!$C$1:'0501'!G$48,4,FALSE),F14-D14))</f>
        <v>7</v>
      </c>
      <c r="K14" s="8">
        <f ca="1">G14-IFERROR(VLOOKUP($A14,'0501'!$A$1:'0501'!H$44,7,FALSE),IFERROR(VLOOKUP($C14,'0501'!$C$1:'0501'!H$44,5,FALSE),G14-E14))</f>
        <v>0</v>
      </c>
      <c r="L14" s="4">
        <f ca="1" t="shared" si="2"/>
        <v>0</v>
      </c>
    </row>
    <row r="15" spans="1:13">
      <c r="A15" t="s">
        <v>23</v>
      </c>
      <c r="B15" t="s">
        <v>10</v>
      </c>
      <c r="C15" s="14">
        <v>45770</v>
      </c>
      <c r="D15">
        <v>126</v>
      </c>
      <c r="E15">
        <v>442</v>
      </c>
      <c r="F15">
        <v>213</v>
      </c>
      <c r="G15">
        <v>685</v>
      </c>
      <c r="H15" s="4">
        <f t="shared" si="0"/>
        <v>3.50793650793651</v>
      </c>
      <c r="I15" s="4">
        <f t="shared" si="1"/>
        <v>3.21596244131455</v>
      </c>
      <c r="J15" s="7">
        <f ca="1">F15-IFERROR(VLOOKUP($A15,'0501'!$A$1:'0501'!G$48,6,FALSE),IFERROR(VLOOKUP($C15,'0501'!$C$1:'0501'!G$48,4,FALSE),F15-D15))</f>
        <v>3</v>
      </c>
      <c r="K15" s="8">
        <f ca="1">G15-IFERROR(VLOOKUP($A15,'0501'!$A$1:'0501'!H$44,7,FALSE),IFERROR(VLOOKUP($C15,'0501'!$C$1:'0501'!H$44,5,FALSE),G15-E15))</f>
        <v>0</v>
      </c>
      <c r="L15" s="4">
        <f ca="1" t="shared" si="2"/>
        <v>0</v>
      </c>
      <c r="M15" s="2" t="s">
        <v>24</v>
      </c>
    </row>
    <row r="16" spans="1:12">
      <c r="A16" t="s">
        <v>26</v>
      </c>
      <c r="B16" t="s">
        <v>10</v>
      </c>
      <c r="C16" s="14">
        <v>45769</v>
      </c>
      <c r="D16">
        <v>20</v>
      </c>
      <c r="E16">
        <v>42</v>
      </c>
      <c r="F16">
        <v>142</v>
      </c>
      <c r="G16">
        <v>418</v>
      </c>
      <c r="H16" s="4">
        <f t="shared" si="0"/>
        <v>2.1</v>
      </c>
      <c r="I16" s="4">
        <f t="shared" si="1"/>
        <v>2.94366197183099</v>
      </c>
      <c r="J16" s="7">
        <f ca="1">F16-IFERROR(VLOOKUP($A16,'0501'!$A$1:'0501'!G$48,6,FALSE),IFERROR(VLOOKUP($C16,'0501'!$C$1:'0501'!G$48,4,FALSE),F16-D16))</f>
        <v>1</v>
      </c>
      <c r="K16" s="8">
        <f ca="1">G16-IFERROR(VLOOKUP($A16,'0501'!$A$1:'0501'!H$44,7,FALSE),IFERROR(VLOOKUP($C16,'0501'!$C$1:'0501'!H$44,5,FALSE),G16-E16))</f>
        <v>0</v>
      </c>
      <c r="L16" s="4">
        <f ca="1" t="shared" si="2"/>
        <v>0</v>
      </c>
    </row>
    <row r="17" spans="1:12">
      <c r="A17" t="s">
        <v>27</v>
      </c>
      <c r="B17" t="s">
        <v>10</v>
      </c>
      <c r="C17" s="14">
        <v>45769</v>
      </c>
      <c r="D17">
        <v>84</v>
      </c>
      <c r="E17">
        <v>14</v>
      </c>
      <c r="F17">
        <v>550</v>
      </c>
      <c r="G17">
        <v>334</v>
      </c>
      <c r="H17" s="4">
        <f t="shared" si="0"/>
        <v>0.166666666666667</v>
      </c>
      <c r="I17" s="4">
        <f t="shared" si="1"/>
        <v>0.607272727272727</v>
      </c>
      <c r="J17" s="7">
        <f ca="1">F17-IFERROR(VLOOKUP($A17,'0501'!$A$1:'0501'!G$48,6,FALSE),IFERROR(VLOOKUP($C17,'0501'!$C$1:'0501'!G$48,4,FALSE),F17-D17))</f>
        <v>4</v>
      </c>
      <c r="K17" s="8">
        <f ca="1">G17-IFERROR(VLOOKUP($A17,'0501'!$A$1:'0501'!H$44,7,FALSE),IFERROR(VLOOKUP($C17,'0501'!$C$1:'0501'!H$44,5,FALSE),G17-E17))</f>
        <v>0</v>
      </c>
      <c r="L17" s="4">
        <f ca="1" t="shared" si="2"/>
        <v>0</v>
      </c>
    </row>
    <row r="18" spans="1:12">
      <c r="A18" t="s">
        <v>28</v>
      </c>
      <c r="B18" t="s">
        <v>10</v>
      </c>
      <c r="C18" s="14">
        <v>45768</v>
      </c>
      <c r="D18">
        <v>20</v>
      </c>
      <c r="E18">
        <v>12</v>
      </c>
      <c r="F18">
        <v>215</v>
      </c>
      <c r="G18">
        <v>603</v>
      </c>
      <c r="H18" s="4">
        <f t="shared" si="0"/>
        <v>0.6</v>
      </c>
      <c r="I18" s="4">
        <f t="shared" si="1"/>
        <v>2.8046511627907</v>
      </c>
      <c r="J18" s="7">
        <f ca="1">F18-IFERROR(VLOOKUP($A18,'0501'!$A$1:'0501'!G$48,6,FALSE),IFERROR(VLOOKUP($C18,'0501'!$C$1:'0501'!G$48,4,FALSE),F18-D18))</f>
        <v>0</v>
      </c>
      <c r="K18" s="8">
        <f ca="1">G18-IFERROR(VLOOKUP($A18,'0501'!$A$1:'0501'!H$44,7,FALSE),IFERROR(VLOOKUP($C18,'0501'!$C$1:'0501'!H$44,5,FALSE),G18-E18))</f>
        <v>0</v>
      </c>
      <c r="L18" s="4">
        <f ca="1" t="shared" si="2"/>
        <v>0</v>
      </c>
    </row>
    <row r="19" spans="1:13">
      <c r="A19" t="s">
        <v>29</v>
      </c>
      <c r="B19" t="s">
        <v>10</v>
      </c>
      <c r="C19" s="14">
        <v>45768</v>
      </c>
      <c r="D19">
        <v>40</v>
      </c>
      <c r="E19">
        <v>86</v>
      </c>
      <c r="F19">
        <v>144</v>
      </c>
      <c r="G19">
        <v>469</v>
      </c>
      <c r="H19" s="4">
        <f t="shared" si="0"/>
        <v>2.15</v>
      </c>
      <c r="I19" s="4">
        <f t="shared" si="1"/>
        <v>3.25694444444444</v>
      </c>
      <c r="J19" s="7">
        <f ca="1">F19-IFERROR(VLOOKUP($A19,'0501'!$A$1:'0501'!G$48,6,FALSE),IFERROR(VLOOKUP($C19,'0501'!$C$1:'0501'!G$48,4,FALSE),F19-D19))</f>
        <v>2</v>
      </c>
      <c r="K19" s="8">
        <f ca="1">G19-IFERROR(VLOOKUP($A19,'0501'!$A$1:'0501'!H$44,7,FALSE),IFERROR(VLOOKUP($C19,'0501'!$C$1:'0501'!H$44,5,FALSE),G19-E19))</f>
        <v>0</v>
      </c>
      <c r="L19" s="4">
        <f ca="1" t="shared" si="2"/>
        <v>0</v>
      </c>
      <c r="M19" s="2" t="s">
        <v>30</v>
      </c>
    </row>
    <row r="20" spans="1:12">
      <c r="A20" t="s">
        <v>32</v>
      </c>
      <c r="B20" t="s">
        <v>10</v>
      </c>
      <c r="C20" s="14">
        <v>45766</v>
      </c>
      <c r="D20">
        <v>161</v>
      </c>
      <c r="E20">
        <v>7</v>
      </c>
      <c r="F20">
        <v>883</v>
      </c>
      <c r="G20">
        <v>583</v>
      </c>
      <c r="H20" s="4">
        <f t="shared" si="0"/>
        <v>0.0434782608695652</v>
      </c>
      <c r="I20" s="4">
        <f t="shared" si="1"/>
        <v>0.660249150622877</v>
      </c>
      <c r="J20" s="7">
        <f ca="1">F20-IFERROR(VLOOKUP($A20,'0501'!$A$1:'0501'!G$48,6,FALSE),IFERROR(VLOOKUP($C20,'0501'!$C$1:'0501'!G$48,4,FALSE),F20-D20))</f>
        <v>34</v>
      </c>
      <c r="K20" s="8">
        <f ca="1">G20-IFERROR(VLOOKUP($A20,'0501'!$A$1:'0501'!H$44,7,FALSE),IFERROR(VLOOKUP($C20,'0501'!$C$1:'0501'!H$44,5,FALSE),G20-E20))</f>
        <v>0</v>
      </c>
      <c r="L20" s="4">
        <f ca="1" t="shared" si="2"/>
        <v>0</v>
      </c>
    </row>
    <row r="21" spans="1:12">
      <c r="A21" t="s">
        <v>34</v>
      </c>
      <c r="B21" t="s">
        <v>10</v>
      </c>
      <c r="C21" s="14">
        <v>45765</v>
      </c>
      <c r="D21">
        <v>30</v>
      </c>
      <c r="E21">
        <v>6</v>
      </c>
      <c r="F21">
        <v>401</v>
      </c>
      <c r="G21">
        <v>452</v>
      </c>
      <c r="H21" s="4">
        <f t="shared" si="0"/>
        <v>0.2</v>
      </c>
      <c r="I21" s="4">
        <f t="shared" si="1"/>
        <v>1.12718204488778</v>
      </c>
      <c r="J21" s="7">
        <f ca="1">F21-IFERROR(VLOOKUP($A21,'0501'!$A$1:'0501'!G$48,6,FALSE),IFERROR(VLOOKUP($C21,'0501'!$C$1:'0501'!G$48,4,FALSE),F21-D21))</f>
        <v>0</v>
      </c>
      <c r="K21" s="8">
        <f ca="1">G21-IFERROR(VLOOKUP($A21,'0501'!$A$1:'0501'!H$44,7,FALSE),IFERROR(VLOOKUP($C21,'0501'!$C$1:'0501'!H$44,5,FALSE),G21-E21))</f>
        <v>0</v>
      </c>
      <c r="L21" s="4">
        <f ca="1" t="shared" si="2"/>
        <v>0</v>
      </c>
    </row>
    <row r="22" spans="1:12">
      <c r="A22" t="s">
        <v>37</v>
      </c>
      <c r="B22" t="s">
        <v>10</v>
      </c>
      <c r="C22" s="14">
        <v>45764</v>
      </c>
      <c r="D22">
        <v>12</v>
      </c>
      <c r="E22">
        <v>7</v>
      </c>
      <c r="F22">
        <v>161</v>
      </c>
      <c r="G22">
        <v>541</v>
      </c>
      <c r="H22" s="4">
        <f t="shared" si="0"/>
        <v>0.583333333333333</v>
      </c>
      <c r="I22" s="4">
        <f t="shared" si="1"/>
        <v>3.36024844720497</v>
      </c>
      <c r="J22" s="7">
        <f ca="1">F22-IFERROR(VLOOKUP($A22,'0501'!$A$1:'0501'!G$48,6,FALSE),IFERROR(VLOOKUP($C22,'0501'!$C$1:'0501'!G$48,4,FALSE),F22-D22))</f>
        <v>0</v>
      </c>
      <c r="K22" s="8">
        <f ca="1">G22-IFERROR(VLOOKUP($A22,'0501'!$A$1:'0501'!H$44,7,FALSE),IFERROR(VLOOKUP($C22,'0501'!$C$1:'0501'!H$44,5,FALSE),G22-E22))</f>
        <v>0</v>
      </c>
      <c r="L22" s="4">
        <f ca="1" t="shared" si="2"/>
        <v>0</v>
      </c>
    </row>
    <row r="23" spans="1:12">
      <c r="A23" t="s">
        <v>38</v>
      </c>
      <c r="B23" t="s">
        <v>10</v>
      </c>
      <c r="C23" s="14">
        <v>45764</v>
      </c>
      <c r="D23">
        <v>75</v>
      </c>
      <c r="E23">
        <v>7</v>
      </c>
      <c r="F23">
        <v>352</v>
      </c>
      <c r="G23">
        <v>261</v>
      </c>
      <c r="H23" s="4">
        <f t="shared" si="0"/>
        <v>0.0933333333333333</v>
      </c>
      <c r="I23" s="4">
        <f t="shared" si="1"/>
        <v>0.741477272727273</v>
      </c>
      <c r="J23" s="7">
        <f ca="1">F23-IFERROR(VLOOKUP($A23,'0501'!$A$1:'0501'!G$48,6,FALSE),IFERROR(VLOOKUP($C23,'0501'!$C$1:'0501'!G$48,4,FALSE),F23-D23))</f>
        <v>10</v>
      </c>
      <c r="K23" s="8">
        <f ca="1">G23-IFERROR(VLOOKUP($A23,'0501'!$A$1:'0501'!H$44,7,FALSE),IFERROR(VLOOKUP($C23,'0501'!$C$1:'0501'!H$44,5,FALSE),G23-E23))</f>
        <v>0</v>
      </c>
      <c r="L23" s="4">
        <f ca="1" t="shared" si="2"/>
        <v>0</v>
      </c>
    </row>
    <row r="24" spans="1:12">
      <c r="A24" t="s">
        <v>39</v>
      </c>
      <c r="B24" t="s">
        <v>10</v>
      </c>
      <c r="C24" s="14">
        <v>45763</v>
      </c>
      <c r="D24">
        <v>66</v>
      </c>
      <c r="E24">
        <v>4</v>
      </c>
      <c r="F24">
        <v>649</v>
      </c>
      <c r="G24">
        <v>370</v>
      </c>
      <c r="H24" s="4">
        <f t="shared" si="0"/>
        <v>0.0606060606060606</v>
      </c>
      <c r="I24" s="4">
        <f t="shared" si="1"/>
        <v>0.570107858243451</v>
      </c>
      <c r="J24" s="7">
        <f ca="1">F24-IFERROR(VLOOKUP($A24,'0501'!$A$1:'0501'!G$48,6,FALSE),IFERROR(VLOOKUP($C24,'0501'!$C$1:'0501'!G$48,4,FALSE),F24-D24))</f>
        <v>1</v>
      </c>
      <c r="K24" s="8">
        <f ca="1">G24-IFERROR(VLOOKUP($A24,'0501'!$A$1:'0501'!H$44,7,FALSE),IFERROR(VLOOKUP($C24,'0501'!$C$1:'0501'!H$44,5,FALSE),G24-E24))</f>
        <v>0</v>
      </c>
      <c r="L24" s="4">
        <f ca="1" t="shared" si="2"/>
        <v>0</v>
      </c>
    </row>
    <row r="25" spans="1:13">
      <c r="A25" t="s">
        <v>40</v>
      </c>
      <c r="B25" t="s">
        <v>10</v>
      </c>
      <c r="C25" s="14">
        <v>45763</v>
      </c>
      <c r="D25">
        <v>2</v>
      </c>
      <c r="E25">
        <v>4</v>
      </c>
      <c r="F25">
        <v>130</v>
      </c>
      <c r="G25">
        <v>198</v>
      </c>
      <c r="H25" s="4">
        <f t="shared" si="0"/>
        <v>2</v>
      </c>
      <c r="I25" s="4">
        <f t="shared" si="1"/>
        <v>1.52307692307692</v>
      </c>
      <c r="J25" s="7">
        <f ca="1">F25-IFERROR(VLOOKUP($A25,'0501'!$A$1:'0501'!G$48,6,FALSE),IFERROR(VLOOKUP($C25,'0501'!$C$1:'0501'!G$48,4,FALSE),F25-D25))</f>
        <v>0</v>
      </c>
      <c r="K25" s="8">
        <f ca="1">G25-IFERROR(VLOOKUP($A25,'0501'!$A$1:'0501'!H$44,7,FALSE),IFERROR(VLOOKUP($C25,'0501'!$C$1:'0501'!H$44,5,FALSE),G25-E25))</f>
        <v>0</v>
      </c>
      <c r="L25" s="4">
        <f ca="1" t="shared" si="2"/>
        <v>0</v>
      </c>
      <c r="M25" s="2" t="s">
        <v>41</v>
      </c>
    </row>
    <row r="26" spans="1:13">
      <c r="A26" t="s">
        <v>42</v>
      </c>
      <c r="B26" t="s">
        <v>10</v>
      </c>
      <c r="C26" s="14">
        <v>45762</v>
      </c>
      <c r="D26">
        <v>12</v>
      </c>
      <c r="E26">
        <v>6</v>
      </c>
      <c r="F26">
        <v>595</v>
      </c>
      <c r="G26">
        <v>641</v>
      </c>
      <c r="H26" s="4">
        <f t="shared" si="0"/>
        <v>0.5</v>
      </c>
      <c r="I26" s="4">
        <f t="shared" si="1"/>
        <v>1.07731092436975</v>
      </c>
      <c r="J26" s="7">
        <f ca="1">F26-IFERROR(VLOOKUP($A26,'0501'!$A$1:'0501'!G$48,6,FALSE),IFERROR(VLOOKUP($C26,'0501'!$C$1:'0501'!G$48,4,FALSE),F26-D26))</f>
        <v>0</v>
      </c>
      <c r="K26" s="8">
        <f ca="1">G26-IFERROR(VLOOKUP($A26,'0501'!$A$1:'0501'!H$44,7,FALSE),IFERROR(VLOOKUP($C26,'0501'!$C$1:'0501'!H$44,5,FALSE),G26-E26))</f>
        <v>0</v>
      </c>
      <c r="L26" s="4">
        <f ca="1" t="shared" si="2"/>
        <v>0</v>
      </c>
      <c r="M26" s="2" t="s">
        <v>43</v>
      </c>
    </row>
    <row r="27" spans="1:13">
      <c r="A27" t="s">
        <v>44</v>
      </c>
      <c r="B27" t="s">
        <v>10</v>
      </c>
      <c r="C27" s="14">
        <v>45761</v>
      </c>
      <c r="D27">
        <v>27</v>
      </c>
      <c r="E27">
        <v>6</v>
      </c>
      <c r="F27">
        <v>1055</v>
      </c>
      <c r="G27">
        <v>913</v>
      </c>
      <c r="H27" s="4">
        <f t="shared" si="0"/>
        <v>0.222222222222222</v>
      </c>
      <c r="I27" s="4">
        <f t="shared" si="1"/>
        <v>0.865402843601896</v>
      </c>
      <c r="J27" s="7">
        <f ca="1">F27-IFERROR(VLOOKUP($A27,'0501'!$A$1:'0501'!G$48,6,FALSE),IFERROR(VLOOKUP($C27,'0501'!$C$1:'0501'!G$48,4,FALSE),F27-D27))</f>
        <v>1</v>
      </c>
      <c r="K27" s="8">
        <f ca="1">G27-IFERROR(VLOOKUP($A27,'0501'!$A$1:'0501'!H$44,7,FALSE),IFERROR(VLOOKUP($C27,'0501'!$C$1:'0501'!H$44,5,FALSE),G27-E27))</f>
        <v>0</v>
      </c>
      <c r="L27" s="4">
        <f ca="1" t="shared" si="2"/>
        <v>0</v>
      </c>
      <c r="M27" s="2" t="s">
        <v>45</v>
      </c>
    </row>
    <row r="28" spans="1:13">
      <c r="A28" t="s">
        <v>46</v>
      </c>
      <c r="B28" t="s">
        <v>10</v>
      </c>
      <c r="C28" s="14">
        <v>45757</v>
      </c>
      <c r="D28">
        <v>12</v>
      </c>
      <c r="E28">
        <v>6</v>
      </c>
      <c r="F28">
        <v>625</v>
      </c>
      <c r="G28">
        <v>763</v>
      </c>
      <c r="H28" s="4">
        <f t="shared" si="0"/>
        <v>0.5</v>
      </c>
      <c r="I28" s="4">
        <f t="shared" si="1"/>
        <v>1.2208</v>
      </c>
      <c r="J28" s="7">
        <f ca="1">F28-IFERROR(VLOOKUP($A28,'0501'!$A$1:'0501'!G$48,6,FALSE),IFERROR(VLOOKUP($C28,'0501'!$C$1:'0501'!G$48,4,FALSE),F28-D28))</f>
        <v>1</v>
      </c>
      <c r="K28" s="8">
        <f ca="1">G28-IFERROR(VLOOKUP($A28,'0501'!$A$1:'0501'!H$44,7,FALSE),IFERROR(VLOOKUP($C28,'0501'!$C$1:'0501'!H$44,5,FALSE),G28-E28))</f>
        <v>0</v>
      </c>
      <c r="L28" s="4">
        <f ca="1" t="shared" si="2"/>
        <v>0</v>
      </c>
      <c r="M28" s="2" t="s">
        <v>47</v>
      </c>
    </row>
    <row r="29" spans="1:13">
      <c r="A29" t="s">
        <v>48</v>
      </c>
      <c r="B29" t="s">
        <v>10</v>
      </c>
      <c r="C29" s="14">
        <v>45750</v>
      </c>
      <c r="D29">
        <v>9</v>
      </c>
      <c r="E29">
        <v>12</v>
      </c>
      <c r="F29">
        <v>225</v>
      </c>
      <c r="G29">
        <v>542</v>
      </c>
      <c r="H29" s="4">
        <f t="shared" si="0"/>
        <v>1.33333333333333</v>
      </c>
      <c r="I29" s="4">
        <f t="shared" si="1"/>
        <v>2.40888888888889</v>
      </c>
      <c r="J29" s="7">
        <f ca="1">F29-IFERROR(VLOOKUP($A29,'0501'!$A$1:'0501'!G$48,6,FALSE),IFERROR(VLOOKUP($C29,'0501'!$C$1:'0501'!G$48,4,FALSE),F29-D29))</f>
        <v>0</v>
      </c>
      <c r="K29" s="8">
        <f ca="1">G29-IFERROR(VLOOKUP($A29,'0501'!$A$1:'0501'!H$44,7,FALSE),IFERROR(VLOOKUP($C29,'0501'!$C$1:'0501'!H$44,5,FALSE),G29-E29))</f>
        <v>0</v>
      </c>
      <c r="L29" s="4">
        <f ca="1" t="shared" si="2"/>
        <v>0</v>
      </c>
      <c r="M29" s="2" t="s">
        <v>49</v>
      </c>
    </row>
    <row r="30" spans="1:13">
      <c r="A30" t="s">
        <v>50</v>
      </c>
      <c r="B30" t="s">
        <v>10</v>
      </c>
      <c r="C30" s="14">
        <v>45748</v>
      </c>
      <c r="D30">
        <v>50</v>
      </c>
      <c r="E30">
        <v>13</v>
      </c>
      <c r="F30">
        <v>224465</v>
      </c>
      <c r="G30">
        <v>10593</v>
      </c>
      <c r="H30" s="4">
        <f t="shared" si="0"/>
        <v>0.26</v>
      </c>
      <c r="I30" s="4">
        <f t="shared" si="1"/>
        <v>0.0471922125943911</v>
      </c>
      <c r="J30" s="7">
        <f ca="1">F30-IFERROR(VLOOKUP($A30,'0501'!$A$1:'0501'!G$48,6,FALSE),IFERROR(VLOOKUP($C30,'0501'!$C$1:'0501'!G$48,4,FALSE),F30-D30))</f>
        <v>5</v>
      </c>
      <c r="K30" s="8">
        <f ca="1">G30-IFERROR(VLOOKUP($A30,'0501'!$A$1:'0501'!H$44,7,FALSE),IFERROR(VLOOKUP($C30,'0501'!$C$1:'0501'!H$44,5,FALSE),G30-E30))</f>
        <v>0</v>
      </c>
      <c r="L30" s="4">
        <f ca="1" t="shared" si="2"/>
        <v>0</v>
      </c>
      <c r="M30" s="2" t="s">
        <v>51</v>
      </c>
    </row>
    <row r="31" spans="1:13">
      <c r="A31" t="s">
        <v>52</v>
      </c>
      <c r="B31" t="s">
        <v>10</v>
      </c>
      <c r="C31" s="14">
        <v>45743</v>
      </c>
      <c r="D31">
        <v>86</v>
      </c>
      <c r="E31">
        <v>10</v>
      </c>
      <c r="F31">
        <v>4885</v>
      </c>
      <c r="G31">
        <v>1986</v>
      </c>
      <c r="H31" s="4">
        <f t="shared" si="0"/>
        <v>0.116279069767442</v>
      </c>
      <c r="I31" s="4">
        <f t="shared" si="1"/>
        <v>0.406550665301945</v>
      </c>
      <c r="J31" s="7">
        <f ca="1">F31-IFERROR(VLOOKUP($A31,'0501'!$A$1:'0501'!G$48,6,FALSE),IFERROR(VLOOKUP($C31,'0501'!$C$1:'0501'!G$48,4,FALSE),F31-D31))</f>
        <v>9</v>
      </c>
      <c r="K31" s="8">
        <f ca="1">G31-IFERROR(VLOOKUP($A31,'0501'!$A$1:'0501'!H$44,7,FALSE),IFERROR(VLOOKUP($C31,'0501'!$C$1:'0501'!H$44,5,FALSE),G31-E31))</f>
        <v>0</v>
      </c>
      <c r="L31" s="4">
        <f ca="1" t="shared" si="2"/>
        <v>0</v>
      </c>
      <c r="M31" s="2" t="s">
        <v>53</v>
      </c>
    </row>
    <row r="32" spans="1:13">
      <c r="A32" t="s">
        <v>54</v>
      </c>
      <c r="B32" t="s">
        <v>10</v>
      </c>
      <c r="C32" s="14">
        <v>45741</v>
      </c>
      <c r="D32">
        <v>119</v>
      </c>
      <c r="E32">
        <v>15</v>
      </c>
      <c r="F32">
        <v>1201</v>
      </c>
      <c r="G32">
        <v>682</v>
      </c>
      <c r="H32" s="4">
        <f t="shared" si="0"/>
        <v>0.126050420168067</v>
      </c>
      <c r="I32" s="4">
        <f t="shared" si="1"/>
        <v>0.567860116569525</v>
      </c>
      <c r="J32" s="7">
        <f ca="1">F32-IFERROR(VLOOKUP($A32,'0501'!$A$1:'0501'!G$48,6,FALSE),IFERROR(VLOOKUP($C32,'0501'!$C$1:'0501'!G$48,4,FALSE),F32-D32))</f>
        <v>8</v>
      </c>
      <c r="K32" s="8">
        <f ca="1">G32-IFERROR(VLOOKUP($A32,'0501'!$A$1:'0501'!H$44,7,FALSE),IFERROR(VLOOKUP($C32,'0501'!$C$1:'0501'!H$44,5,FALSE),G32-E32))</f>
        <v>5</v>
      </c>
      <c r="L32" s="4">
        <f ca="1" t="shared" si="2"/>
        <v>0.625</v>
      </c>
      <c r="M32" s="13" t="s">
        <v>55</v>
      </c>
    </row>
    <row r="33" spans="1:13">
      <c r="A33" t="s">
        <v>56</v>
      </c>
      <c r="B33" t="s">
        <v>10</v>
      </c>
      <c r="C33" s="14">
        <v>45734</v>
      </c>
      <c r="D33">
        <v>40</v>
      </c>
      <c r="E33">
        <v>5</v>
      </c>
      <c r="F33">
        <v>494</v>
      </c>
      <c r="G33">
        <v>670</v>
      </c>
      <c r="H33" s="4">
        <f t="shared" si="0"/>
        <v>0.125</v>
      </c>
      <c r="I33" s="4">
        <f t="shared" si="1"/>
        <v>1.35627530364372</v>
      </c>
      <c r="J33" s="7">
        <f ca="1">F33-IFERROR(VLOOKUP($A33,'0501'!$A$1:'0501'!G$48,6,FALSE),IFERROR(VLOOKUP($C33,'0501'!$C$1:'0501'!G$48,4,FALSE),F33-D33))</f>
        <v>6</v>
      </c>
      <c r="K33" s="8">
        <f ca="1">G33-IFERROR(VLOOKUP($A33,'0501'!$A$1:'0501'!H$44,7,FALSE),IFERROR(VLOOKUP($C33,'0501'!$C$1:'0501'!H$44,5,FALSE),G33-E33))</f>
        <v>0</v>
      </c>
      <c r="L33" s="4">
        <f ca="1" t="shared" si="2"/>
        <v>0</v>
      </c>
      <c r="M33" s="2" t="s">
        <v>57</v>
      </c>
    </row>
    <row r="34" spans="1:13">
      <c r="A34" t="s">
        <v>58</v>
      </c>
      <c r="B34" t="s">
        <v>10</v>
      </c>
      <c r="C34" s="14">
        <v>45719</v>
      </c>
      <c r="D34">
        <v>9</v>
      </c>
      <c r="E34">
        <v>10</v>
      </c>
      <c r="F34">
        <v>379</v>
      </c>
      <c r="G34">
        <v>657</v>
      </c>
      <c r="H34" s="4">
        <f t="shared" si="0"/>
        <v>1.11111111111111</v>
      </c>
      <c r="I34" s="4">
        <f t="shared" si="1"/>
        <v>1.7335092348285</v>
      </c>
      <c r="J34" s="7">
        <f ca="1">F34-IFERROR(VLOOKUP($A34,'0501'!$A$1:'0501'!G$48,6,FALSE),IFERROR(VLOOKUP($C34,'0501'!$C$1:'0501'!G$48,4,FALSE),F34-D34))</f>
        <v>2</v>
      </c>
      <c r="K34" s="8">
        <f ca="1">G34-IFERROR(VLOOKUP($A34,'0501'!$A$1:'0501'!H$44,7,FALSE),IFERROR(VLOOKUP($C34,'0501'!$C$1:'0501'!H$44,5,FALSE),G34-E34))</f>
        <v>0</v>
      </c>
      <c r="L34" s="4">
        <f ca="1" t="shared" si="2"/>
        <v>0</v>
      </c>
      <c r="M34" s="2" t="s">
        <v>59</v>
      </c>
    </row>
    <row r="35" spans="1:13">
      <c r="A35" t="s">
        <v>60</v>
      </c>
      <c r="B35" t="s">
        <v>10</v>
      </c>
      <c r="C35" s="14">
        <v>45713</v>
      </c>
      <c r="D35">
        <v>10</v>
      </c>
      <c r="E35">
        <v>31</v>
      </c>
      <c r="F35">
        <v>225</v>
      </c>
      <c r="G35">
        <v>589</v>
      </c>
      <c r="H35" s="4">
        <f t="shared" si="0"/>
        <v>3.1</v>
      </c>
      <c r="I35" s="4">
        <f t="shared" si="1"/>
        <v>2.61777777777778</v>
      </c>
      <c r="J35" s="7">
        <f ca="1">F35-IFERROR(VLOOKUP($A35,'0501'!$A$1:'0501'!G$48,6,FALSE),IFERROR(VLOOKUP($C35,'0501'!$C$1:'0501'!G$48,4,FALSE),F35-D35))</f>
        <v>0</v>
      </c>
      <c r="K35" s="8">
        <f ca="1">G35-IFERROR(VLOOKUP($A35,'0501'!$A$1:'0501'!H$44,7,FALSE),IFERROR(VLOOKUP($C35,'0501'!$C$1:'0501'!H$44,5,FALSE),G35-E35))</f>
        <v>0</v>
      </c>
      <c r="L35" s="4">
        <f ca="1" t="shared" si="2"/>
        <v>0</v>
      </c>
      <c r="M35" s="2" t="s">
        <v>61</v>
      </c>
    </row>
    <row r="36" spans="1:13">
      <c r="A36" t="s">
        <v>62</v>
      </c>
      <c r="B36" t="s">
        <v>10</v>
      </c>
      <c r="C36" s="14">
        <v>45691</v>
      </c>
      <c r="D36">
        <v>35</v>
      </c>
      <c r="E36">
        <v>5</v>
      </c>
      <c r="F36">
        <v>319</v>
      </c>
      <c r="G36">
        <v>36</v>
      </c>
      <c r="H36" s="4">
        <f t="shared" si="0"/>
        <v>0.142857142857143</v>
      </c>
      <c r="I36" s="4">
        <f t="shared" si="1"/>
        <v>0.112852664576803</v>
      </c>
      <c r="J36" s="7">
        <f ca="1">F36-IFERROR(VLOOKUP($A36,'0501'!$A$1:'0501'!G$48,6,FALSE),IFERROR(VLOOKUP($C36,'0501'!$C$1:'0501'!G$48,4,FALSE),F36-D36))</f>
        <v>2</v>
      </c>
      <c r="K36" s="8">
        <f ca="1">G36-IFERROR(VLOOKUP($A36,'0501'!$A$1:'0501'!H$44,7,FALSE),IFERROR(VLOOKUP($C36,'0501'!$C$1:'0501'!H$44,5,FALSE),G36-E36))</f>
        <v>0</v>
      </c>
      <c r="L36" s="4">
        <f ca="1" t="shared" si="2"/>
        <v>0</v>
      </c>
      <c r="M36" s="2" t="s">
        <v>63</v>
      </c>
    </row>
    <row r="37" spans="1:13">
      <c r="A37" t="s">
        <v>64</v>
      </c>
      <c r="B37" t="s">
        <v>10</v>
      </c>
      <c r="C37" s="14">
        <v>45598</v>
      </c>
      <c r="D37">
        <v>72</v>
      </c>
      <c r="E37">
        <v>2</v>
      </c>
      <c r="F37">
        <v>1273</v>
      </c>
      <c r="G37">
        <v>789</v>
      </c>
      <c r="H37" s="4">
        <f t="shared" si="0"/>
        <v>0.0277777777777778</v>
      </c>
      <c r="I37" s="4">
        <f t="shared" si="1"/>
        <v>0.619795758051846</v>
      </c>
      <c r="J37" s="7">
        <f ca="1">F37-IFERROR(VLOOKUP($A37,'0501'!$A$1:'0501'!G$48,6,FALSE),IFERROR(VLOOKUP($C37,'0501'!$C$1:'0501'!G$48,4,FALSE),F37-D37))</f>
        <v>11</v>
      </c>
      <c r="K37" s="8">
        <f ca="1">G37-IFERROR(VLOOKUP($A37,'0501'!$A$1:'0501'!H$44,7,FALSE),IFERROR(VLOOKUP($C37,'0501'!$C$1:'0501'!H$44,5,FALSE),G37-E37))</f>
        <v>0</v>
      </c>
      <c r="L37" s="4">
        <f ca="1" t="shared" si="2"/>
        <v>0</v>
      </c>
      <c r="M37" s="2" t="s">
        <v>65</v>
      </c>
    </row>
    <row r="38" spans="11:11">
      <c r="K38" s="2">
        <f ca="1">SUM(K2:K37)</f>
        <v>337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9"/>
  <sheetViews>
    <sheetView topLeftCell="A16" workbookViewId="0">
      <selection activeCell="A35" sqref="$A35:$XFD35"/>
    </sheetView>
  </sheetViews>
  <sheetFormatPr defaultColWidth="10" defaultRowHeight="14.4"/>
  <cols>
    <col min="1" max="1" width="46.5555555555556" style="2" customWidth="1"/>
    <col min="2" max="2" width="0.333333333333333" style="2" customWidth="1"/>
    <col min="3" max="3" width="10" style="2"/>
    <col min="4" max="7" width="5.88888888888889" style="2" customWidth="1"/>
    <col min="8" max="9" width="6.77777777777778" style="2" customWidth="1"/>
    <col min="10" max="10" width="7.66666666666667" style="2" customWidth="1"/>
    <col min="11" max="12" width="6.77777777777778" style="2" customWidth="1"/>
    <col min="13" max="13" width="18.6666666666667" style="2" customWidth="1"/>
    <col min="14" max="16384" width="10" style="2"/>
  </cols>
  <sheetData>
    <row r="1" s="2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J1" s="5" t="s">
        <v>7</v>
      </c>
      <c r="K1" s="5" t="s">
        <v>8</v>
      </c>
    </row>
    <row r="2" s="2" customFormat="1" spans="1:12">
      <c r="A2" s="2" t="s">
        <v>68</v>
      </c>
      <c r="B2" s="2" t="s">
        <v>10</v>
      </c>
      <c r="C2" s="9">
        <v>45779</v>
      </c>
      <c r="D2" s="2">
        <v>100</v>
      </c>
      <c r="E2" s="2">
        <v>84</v>
      </c>
      <c r="F2" s="2">
        <v>100</v>
      </c>
      <c r="G2" s="2">
        <v>84</v>
      </c>
      <c r="H2" s="4">
        <f>E2/D2</f>
        <v>0.84</v>
      </c>
      <c r="I2" s="4">
        <f>G2/F2</f>
        <v>0.84</v>
      </c>
      <c r="J2" s="7">
        <f ca="1">F2-IFERROR(VLOOKUP($A2,'0502'!$A$1:'0502'!G$48,6,FALSE),IFERROR(VLOOKUP($C2,'0502'!$C$1:'0502'!G$48,4,FALSE),F2-D2))</f>
        <v>100</v>
      </c>
      <c r="K2" s="8">
        <f ca="1">G2-IFERROR(VLOOKUP($A2,'0502'!$A$1:'0502'!H$44,7,FALSE),IFERROR(VLOOKUP($C2,'0502'!$C$1:'0502'!H$44,5,FALSE),G2-E2))</f>
        <v>84</v>
      </c>
      <c r="L2" s="4">
        <f ca="1">IFERROR(K2/J2,)</f>
        <v>0.84</v>
      </c>
    </row>
    <row r="3" s="2" customFormat="1" spans="1:12">
      <c r="A3" s="2" t="s">
        <v>66</v>
      </c>
      <c r="B3" s="2" t="s">
        <v>10</v>
      </c>
      <c r="C3" s="9">
        <v>45778</v>
      </c>
      <c r="D3" s="2">
        <v>310</v>
      </c>
      <c r="E3" s="2">
        <v>140</v>
      </c>
      <c r="F3" s="2">
        <v>310</v>
      </c>
      <c r="G3" s="2">
        <v>140</v>
      </c>
      <c r="H3" s="4">
        <f t="shared" ref="H3:H38" si="0">E3/D3</f>
        <v>0.451612903225806</v>
      </c>
      <c r="I3" s="4">
        <f t="shared" ref="I3:I38" si="1">G3/F3</f>
        <v>0.451612903225806</v>
      </c>
      <c r="J3" s="7">
        <f ca="1">F3-IFERROR(VLOOKUP($A3,'0502'!$A$1:'0502'!G$48,6,FALSE),IFERROR(VLOOKUP($C3,'0502'!$C$1:'0502'!G$48,4,FALSE),F3-D3))</f>
        <v>28</v>
      </c>
      <c r="K3" s="8">
        <f ca="1">G3-IFERROR(VLOOKUP($A3,'0502'!$A$1:'0502'!H$44,7,FALSE),IFERROR(VLOOKUP($C3,'0502'!$C$1:'0502'!H$44,5,FALSE),G3-E3))</f>
        <v>14</v>
      </c>
      <c r="L3" s="4">
        <f ca="1" t="shared" ref="L3:L38" si="2">IFERROR(K3/J3,)</f>
        <v>0.5</v>
      </c>
    </row>
    <row r="4" s="2" customFormat="1" spans="1:12">
      <c r="A4" s="2" t="s">
        <v>9</v>
      </c>
      <c r="B4" s="2" t="s">
        <v>10</v>
      </c>
      <c r="C4" s="9">
        <v>45777</v>
      </c>
      <c r="D4" s="2">
        <v>182</v>
      </c>
      <c r="E4" s="2">
        <v>283</v>
      </c>
      <c r="F4" s="2">
        <v>182</v>
      </c>
      <c r="G4" s="2">
        <v>283</v>
      </c>
      <c r="H4" s="4">
        <f t="shared" si="0"/>
        <v>1.55494505494505</v>
      </c>
      <c r="I4" s="4">
        <f t="shared" si="1"/>
        <v>1.55494505494505</v>
      </c>
      <c r="J4" s="7">
        <f ca="1">F4-IFERROR(VLOOKUP($A4,'0502'!$A$1:'0502'!G$48,6,FALSE),IFERROR(VLOOKUP($C4,'0502'!$C$1:'0502'!G$48,4,FALSE),F4-D4))</f>
        <v>39</v>
      </c>
      <c r="K4" s="8">
        <f ca="1">G4-IFERROR(VLOOKUP($A4,'0502'!$A$1:'0502'!H$44,7,FALSE),IFERROR(VLOOKUP($C4,'0502'!$C$1:'0502'!H$44,5,FALSE),G4-E4))</f>
        <v>7</v>
      </c>
      <c r="L4" s="4">
        <f ca="1" t="shared" si="2"/>
        <v>0.179487179487179</v>
      </c>
    </row>
    <row r="5" s="2" customFormat="1" spans="1:13">
      <c r="A5" s="2" t="s">
        <v>11</v>
      </c>
      <c r="B5" s="2" t="s">
        <v>10</v>
      </c>
      <c r="C5" s="9">
        <v>45777</v>
      </c>
      <c r="D5" s="2">
        <v>86</v>
      </c>
      <c r="E5" s="2">
        <v>222</v>
      </c>
      <c r="F5" s="2">
        <v>86</v>
      </c>
      <c r="G5" s="2">
        <v>222</v>
      </c>
      <c r="H5" s="4">
        <f t="shared" si="0"/>
        <v>2.58139534883721</v>
      </c>
      <c r="I5" s="4">
        <f t="shared" si="1"/>
        <v>2.58139534883721</v>
      </c>
      <c r="J5" s="7">
        <f ca="1">F5-IFERROR(VLOOKUP($A5,'0502'!$A$1:'0502'!G$48,6,FALSE),IFERROR(VLOOKUP($C5,'0502'!$C$1:'0502'!G$48,4,FALSE),F5-D5))</f>
        <v>8</v>
      </c>
      <c r="K5" s="8">
        <f ca="1">G5-IFERROR(VLOOKUP($A5,'0502'!$A$1:'0502'!H$44,7,FALSE),IFERROR(VLOOKUP($C5,'0502'!$C$1:'0502'!H$44,5,FALSE),G5-E5))</f>
        <v>12</v>
      </c>
      <c r="L5" s="4">
        <f ca="1" t="shared" si="2"/>
        <v>1.5</v>
      </c>
      <c r="M5" s="2" t="s">
        <v>67</v>
      </c>
    </row>
    <row r="6" s="2" customFormat="1" spans="1:12">
      <c r="A6" s="2" t="s">
        <v>12</v>
      </c>
      <c r="B6" s="2" t="s">
        <v>10</v>
      </c>
      <c r="C6" s="9">
        <v>45776</v>
      </c>
      <c r="D6" s="2">
        <v>516</v>
      </c>
      <c r="E6" s="2">
        <v>393</v>
      </c>
      <c r="F6" s="2">
        <v>516</v>
      </c>
      <c r="G6" s="2">
        <v>393</v>
      </c>
      <c r="H6" s="4">
        <f t="shared" si="0"/>
        <v>0.761627906976744</v>
      </c>
      <c r="I6" s="4">
        <f t="shared" si="1"/>
        <v>0.761627906976744</v>
      </c>
      <c r="J6" s="7">
        <f ca="1">F6-IFERROR(VLOOKUP($A6,'0502'!$A$1:'0502'!G$48,6,FALSE),IFERROR(VLOOKUP($C6,'0502'!$C$1:'0502'!G$48,4,FALSE),F6-D6))</f>
        <v>71</v>
      </c>
      <c r="K6" s="8">
        <f ca="1">G6-IFERROR(VLOOKUP($A6,'0502'!$A$1:'0502'!H$44,7,FALSE),IFERROR(VLOOKUP($C6,'0502'!$C$1:'0502'!H$44,5,FALSE),G6-E6))</f>
        <v>4</v>
      </c>
      <c r="L6" s="4">
        <f ca="1" t="shared" si="2"/>
        <v>0.0563380281690141</v>
      </c>
    </row>
    <row r="7" s="2" customFormat="1" spans="1:12">
      <c r="A7" s="2" t="s">
        <v>13</v>
      </c>
      <c r="B7" s="2" t="s">
        <v>10</v>
      </c>
      <c r="C7" s="9">
        <v>45775</v>
      </c>
      <c r="D7" s="2">
        <v>226</v>
      </c>
      <c r="E7" s="2">
        <v>311</v>
      </c>
      <c r="F7" s="2">
        <v>226</v>
      </c>
      <c r="G7" s="2">
        <v>311</v>
      </c>
      <c r="H7" s="4">
        <f t="shared" si="0"/>
        <v>1.37610619469027</v>
      </c>
      <c r="I7" s="4">
        <f t="shared" si="1"/>
        <v>1.37610619469027</v>
      </c>
      <c r="J7" s="7">
        <f ca="1">F7-IFERROR(VLOOKUP($A7,'0502'!$A$1:'0502'!G$48,6,FALSE),IFERROR(VLOOKUP($C7,'0502'!$C$1:'0502'!G$48,4,FALSE),F7-D7))</f>
        <v>7</v>
      </c>
      <c r="K7" s="8">
        <f ca="1">G7-IFERROR(VLOOKUP($A7,'0502'!$A$1:'0502'!H$44,7,FALSE),IFERROR(VLOOKUP($C7,'0502'!$C$1:'0502'!H$44,5,FALSE),G7-E7))</f>
        <v>17</v>
      </c>
      <c r="L7" s="4">
        <f ca="1" t="shared" si="2"/>
        <v>2.42857142857143</v>
      </c>
    </row>
    <row r="8" s="2" customFormat="1" spans="1:12">
      <c r="A8" s="2" t="s">
        <v>14</v>
      </c>
      <c r="B8" s="2" t="s">
        <v>10</v>
      </c>
      <c r="C8" s="9">
        <v>45775</v>
      </c>
      <c r="D8" s="2">
        <v>136</v>
      </c>
      <c r="E8" s="2">
        <v>304</v>
      </c>
      <c r="F8" s="2">
        <v>136</v>
      </c>
      <c r="G8" s="2">
        <v>304</v>
      </c>
      <c r="H8" s="4">
        <f t="shared" si="0"/>
        <v>2.23529411764706</v>
      </c>
      <c r="I8" s="4">
        <f t="shared" si="1"/>
        <v>2.23529411764706</v>
      </c>
      <c r="J8" s="7">
        <f ca="1">F8-IFERROR(VLOOKUP($A8,'0502'!$A$1:'0502'!G$48,6,FALSE),IFERROR(VLOOKUP($C8,'0502'!$C$1:'0502'!G$48,4,FALSE),F8-D8))</f>
        <v>1</v>
      </c>
      <c r="K8" s="8">
        <f ca="1">G8-IFERROR(VLOOKUP($A8,'0502'!$A$1:'0502'!H$44,7,FALSE),IFERROR(VLOOKUP($C8,'0502'!$C$1:'0502'!H$44,5,FALSE),G8-E8))</f>
        <v>0</v>
      </c>
      <c r="L8" s="4">
        <f ca="1" t="shared" si="2"/>
        <v>0</v>
      </c>
    </row>
    <row r="9" s="2" customFormat="1" spans="1:12">
      <c r="A9" s="2" t="s">
        <v>15</v>
      </c>
      <c r="B9" s="2" t="s">
        <v>10</v>
      </c>
      <c r="C9" s="9">
        <v>45774</v>
      </c>
      <c r="D9" s="2">
        <v>140</v>
      </c>
      <c r="E9" s="2">
        <v>216</v>
      </c>
      <c r="F9" s="2">
        <v>140</v>
      </c>
      <c r="G9" s="2">
        <v>216</v>
      </c>
      <c r="H9" s="4">
        <f t="shared" si="0"/>
        <v>1.54285714285714</v>
      </c>
      <c r="I9" s="4">
        <f t="shared" si="1"/>
        <v>1.54285714285714</v>
      </c>
      <c r="J9" s="7">
        <f ca="1">F9-IFERROR(VLOOKUP($A9,'0502'!$A$1:'0502'!G$48,6,FALSE),IFERROR(VLOOKUP($C9,'0502'!$C$1:'0502'!G$48,4,FALSE),F9-D9))</f>
        <v>0</v>
      </c>
      <c r="K9" s="8">
        <f ca="1">G9-IFERROR(VLOOKUP($A9,'0502'!$A$1:'0502'!H$44,7,FALSE),IFERROR(VLOOKUP($C9,'0502'!$C$1:'0502'!H$44,5,FALSE),G9-E9))</f>
        <v>0</v>
      </c>
      <c r="L9" s="4">
        <f ca="1" t="shared" si="2"/>
        <v>0</v>
      </c>
    </row>
    <row r="10" s="2" customFormat="1" spans="1:12">
      <c r="A10" s="2" t="s">
        <v>16</v>
      </c>
      <c r="B10" s="2" t="s">
        <v>10</v>
      </c>
      <c r="C10" s="9">
        <v>45774</v>
      </c>
      <c r="D10" s="2">
        <v>388</v>
      </c>
      <c r="E10" s="2">
        <v>367</v>
      </c>
      <c r="F10" s="2">
        <v>388</v>
      </c>
      <c r="G10" s="2">
        <v>367</v>
      </c>
      <c r="H10" s="4">
        <f t="shared" si="0"/>
        <v>0.945876288659794</v>
      </c>
      <c r="I10" s="4">
        <f t="shared" si="1"/>
        <v>0.945876288659794</v>
      </c>
      <c r="J10" s="7">
        <f ca="1">F10-IFERROR(VLOOKUP($A10,'0502'!$A$1:'0502'!G$48,6,FALSE),IFERROR(VLOOKUP($C10,'0502'!$C$1:'0502'!G$48,4,FALSE),F10-D10))</f>
        <v>3</v>
      </c>
      <c r="K10" s="8">
        <f ca="1">G10-IFERROR(VLOOKUP($A10,'0502'!$A$1:'0502'!H$44,7,FALSE),IFERROR(VLOOKUP($C10,'0502'!$C$1:'0502'!H$44,5,FALSE),G10-E10))</f>
        <v>0</v>
      </c>
      <c r="L10" s="4">
        <f ca="1" t="shared" si="2"/>
        <v>0</v>
      </c>
    </row>
    <row r="11" s="2" customFormat="1" spans="1:12">
      <c r="A11" s="2" t="s">
        <v>17</v>
      </c>
      <c r="B11" s="2" t="s">
        <v>10</v>
      </c>
      <c r="C11" s="9">
        <v>45773</v>
      </c>
      <c r="D11" s="2">
        <v>138</v>
      </c>
      <c r="E11" s="2">
        <v>190</v>
      </c>
      <c r="F11" s="2">
        <v>138</v>
      </c>
      <c r="G11" s="2">
        <v>190</v>
      </c>
      <c r="H11" s="4">
        <f t="shared" si="0"/>
        <v>1.3768115942029</v>
      </c>
      <c r="I11" s="4">
        <f t="shared" si="1"/>
        <v>1.3768115942029</v>
      </c>
      <c r="J11" s="7">
        <f ca="1">F11-IFERROR(VLOOKUP($A11,'0502'!$A$1:'0502'!G$48,6,FALSE),IFERROR(VLOOKUP($C11,'0502'!$C$1:'0502'!G$48,4,FALSE),F11-D11))</f>
        <v>0</v>
      </c>
      <c r="K11" s="8">
        <f ca="1">G11-IFERROR(VLOOKUP($A11,'0502'!$A$1:'0502'!H$44,7,FALSE),IFERROR(VLOOKUP($C11,'0502'!$C$1:'0502'!H$44,5,FALSE),G11-E11))</f>
        <v>0</v>
      </c>
      <c r="L11" s="4">
        <f ca="1" t="shared" si="2"/>
        <v>0</v>
      </c>
    </row>
    <row r="12" s="2" customFormat="1" spans="1:12">
      <c r="A12" s="2" t="s">
        <v>18</v>
      </c>
      <c r="B12" s="2" t="s">
        <v>10</v>
      </c>
      <c r="C12" s="9">
        <v>45773</v>
      </c>
      <c r="D12" s="2">
        <v>223</v>
      </c>
      <c r="E12" s="2">
        <v>247</v>
      </c>
      <c r="F12" s="2">
        <v>223</v>
      </c>
      <c r="G12" s="2">
        <v>247</v>
      </c>
      <c r="H12" s="4">
        <f t="shared" si="0"/>
        <v>1.10762331838565</v>
      </c>
      <c r="I12" s="4">
        <f t="shared" si="1"/>
        <v>1.10762331838565</v>
      </c>
      <c r="J12" s="7">
        <f ca="1">F12-IFERROR(VLOOKUP($A12,'0502'!$A$1:'0502'!G$48,6,FALSE),IFERROR(VLOOKUP($C12,'0502'!$C$1:'0502'!G$48,4,FALSE),F12-D12))</f>
        <v>6</v>
      </c>
      <c r="K12" s="8">
        <f ca="1">G12-IFERROR(VLOOKUP($A12,'0502'!$A$1:'0502'!H$44,7,FALSE),IFERROR(VLOOKUP($C12,'0502'!$C$1:'0502'!H$44,5,FALSE),G12-E12))</f>
        <v>0</v>
      </c>
      <c r="L12" s="4">
        <f ca="1" t="shared" si="2"/>
        <v>0</v>
      </c>
    </row>
    <row r="13" s="2" customFormat="1" spans="1:13">
      <c r="A13" s="2" t="s">
        <v>19</v>
      </c>
      <c r="B13" s="2" t="s">
        <v>10</v>
      </c>
      <c r="C13" s="9">
        <v>45772</v>
      </c>
      <c r="D13" s="2">
        <v>151</v>
      </c>
      <c r="E13" s="2">
        <v>465</v>
      </c>
      <c r="F13" s="2">
        <v>197</v>
      </c>
      <c r="G13" s="2">
        <v>612</v>
      </c>
      <c r="H13" s="4">
        <f t="shared" si="0"/>
        <v>3.0794701986755</v>
      </c>
      <c r="I13" s="4">
        <f t="shared" si="1"/>
        <v>3.10659898477157</v>
      </c>
      <c r="J13" s="7">
        <f ca="1">F13-IFERROR(VLOOKUP($A13,'0502'!$A$1:'0502'!G$48,6,FALSE),IFERROR(VLOOKUP($C13,'0502'!$C$1:'0502'!G$48,4,FALSE),F13-D13))</f>
        <v>57</v>
      </c>
      <c r="K13" s="8">
        <f ca="1">G13-IFERROR(VLOOKUP($A13,'0502'!$A$1:'0502'!H$44,7,FALSE),IFERROR(VLOOKUP($C13,'0502'!$C$1:'0502'!H$44,5,FALSE),G13-E13))</f>
        <v>93</v>
      </c>
      <c r="L13" s="4">
        <f ca="1" t="shared" si="2"/>
        <v>1.63157894736842</v>
      </c>
      <c r="M13" s="2" t="s">
        <v>20</v>
      </c>
    </row>
    <row r="14" s="2" customFormat="1" spans="1:12">
      <c r="A14" s="2" t="s">
        <v>21</v>
      </c>
      <c r="B14" s="2" t="s">
        <v>10</v>
      </c>
      <c r="C14" s="9">
        <v>45771</v>
      </c>
      <c r="D14" s="2">
        <v>91</v>
      </c>
      <c r="E14" s="2">
        <v>18</v>
      </c>
      <c r="F14" s="2">
        <v>189</v>
      </c>
      <c r="G14" s="2">
        <v>183</v>
      </c>
      <c r="H14" s="4">
        <f t="shared" si="0"/>
        <v>0.197802197802198</v>
      </c>
      <c r="I14" s="4">
        <f t="shared" si="1"/>
        <v>0.968253968253968</v>
      </c>
      <c r="J14" s="7">
        <f ca="1">F14-IFERROR(VLOOKUP($A14,'0502'!$A$1:'0502'!G$48,6,FALSE),IFERROR(VLOOKUP($C14,'0502'!$C$1:'0502'!G$48,4,FALSE),F14-D14))</f>
        <v>2</v>
      </c>
      <c r="K14" s="8">
        <f ca="1">G14-IFERROR(VLOOKUP($A14,'0502'!$A$1:'0502'!H$44,7,FALSE),IFERROR(VLOOKUP($C14,'0502'!$C$1:'0502'!H$44,5,FALSE),G14-E14))</f>
        <v>0</v>
      </c>
      <c r="L14" s="4">
        <f ca="1" t="shared" si="2"/>
        <v>0</v>
      </c>
    </row>
    <row r="15" s="2" customFormat="1" spans="1:12">
      <c r="A15" s="2" t="s">
        <v>22</v>
      </c>
      <c r="B15" s="2" t="s">
        <v>10</v>
      </c>
      <c r="C15" s="9">
        <v>45771</v>
      </c>
      <c r="D15" s="2">
        <v>68</v>
      </c>
      <c r="E15" s="2">
        <v>20</v>
      </c>
      <c r="F15" s="2">
        <v>167</v>
      </c>
      <c r="G15" s="2">
        <v>121</v>
      </c>
      <c r="H15" s="4">
        <f t="shared" si="0"/>
        <v>0.294117647058824</v>
      </c>
      <c r="I15" s="4">
        <f t="shared" si="1"/>
        <v>0.724550898203593</v>
      </c>
      <c r="J15" s="7">
        <f ca="1">F15-IFERROR(VLOOKUP($A15,'0502'!$A$1:'0502'!G$48,6,FALSE),IFERROR(VLOOKUP($C15,'0502'!$C$1:'0502'!G$48,4,FALSE),F15-D15))</f>
        <v>4</v>
      </c>
      <c r="K15" s="8">
        <f ca="1">G15-IFERROR(VLOOKUP($A15,'0502'!$A$1:'0502'!H$44,7,FALSE),IFERROR(VLOOKUP($C15,'0502'!$C$1:'0502'!H$44,5,FALSE),G15-E15))</f>
        <v>0</v>
      </c>
      <c r="L15" s="4">
        <f ca="1" t="shared" si="2"/>
        <v>0</v>
      </c>
    </row>
    <row r="16" s="2" customFormat="1" spans="1:13">
      <c r="A16" s="2" t="s">
        <v>23</v>
      </c>
      <c r="B16" s="2" t="s">
        <v>10</v>
      </c>
      <c r="C16" s="9">
        <v>45770</v>
      </c>
      <c r="D16" s="2">
        <v>121</v>
      </c>
      <c r="E16" s="2">
        <v>404</v>
      </c>
      <c r="F16" s="2">
        <v>218</v>
      </c>
      <c r="G16" s="2">
        <v>685</v>
      </c>
      <c r="H16" s="4">
        <f t="shared" si="0"/>
        <v>3.33884297520661</v>
      </c>
      <c r="I16" s="4">
        <f t="shared" si="1"/>
        <v>3.14220183486239</v>
      </c>
      <c r="J16" s="7">
        <f ca="1">F16-IFERROR(VLOOKUP($A16,'0502'!$A$1:'0502'!G$48,6,FALSE),IFERROR(VLOOKUP($C16,'0502'!$C$1:'0502'!G$48,4,FALSE),F16-D16))</f>
        <v>5</v>
      </c>
      <c r="K16" s="8">
        <f ca="1">G16-IFERROR(VLOOKUP($A16,'0502'!$A$1:'0502'!H$44,7,FALSE),IFERROR(VLOOKUP($C16,'0502'!$C$1:'0502'!H$44,5,FALSE),G16-E16))</f>
        <v>0</v>
      </c>
      <c r="L16" s="4">
        <f ca="1" t="shared" si="2"/>
        <v>0</v>
      </c>
      <c r="M16" s="2" t="s">
        <v>24</v>
      </c>
    </row>
    <row r="17" s="2" customFormat="1" spans="1:12">
      <c r="A17" s="2" t="s">
        <v>26</v>
      </c>
      <c r="B17" s="2" t="s">
        <v>10</v>
      </c>
      <c r="C17" s="9">
        <v>45769</v>
      </c>
      <c r="D17" s="2">
        <v>15</v>
      </c>
      <c r="E17" s="2">
        <v>35</v>
      </c>
      <c r="F17" s="2">
        <v>144</v>
      </c>
      <c r="G17" s="2">
        <v>418</v>
      </c>
      <c r="H17" s="4">
        <f t="shared" si="0"/>
        <v>2.33333333333333</v>
      </c>
      <c r="I17" s="4">
        <f t="shared" si="1"/>
        <v>2.90277777777778</v>
      </c>
      <c r="J17" s="7">
        <f ca="1">F17-IFERROR(VLOOKUP($A17,'0502'!$A$1:'0502'!G$48,6,FALSE),IFERROR(VLOOKUP($C17,'0502'!$C$1:'0502'!G$48,4,FALSE),F17-D17))</f>
        <v>2</v>
      </c>
      <c r="K17" s="8">
        <f ca="1">G17-IFERROR(VLOOKUP($A17,'0502'!$A$1:'0502'!H$44,7,FALSE),IFERROR(VLOOKUP($C17,'0502'!$C$1:'0502'!H$44,5,FALSE),G17-E17))</f>
        <v>0</v>
      </c>
      <c r="L17" s="4">
        <f ca="1" t="shared" si="2"/>
        <v>0</v>
      </c>
    </row>
    <row r="18" s="2" customFormat="1" spans="1:12">
      <c r="A18" s="2" t="s">
        <v>27</v>
      </c>
      <c r="B18" s="2" t="s">
        <v>10</v>
      </c>
      <c r="C18" s="9">
        <v>45769</v>
      </c>
      <c r="D18" s="2">
        <v>75</v>
      </c>
      <c r="E18" s="2">
        <v>14</v>
      </c>
      <c r="F18" s="2">
        <v>557</v>
      </c>
      <c r="G18" s="2">
        <v>334</v>
      </c>
      <c r="H18" s="4">
        <f t="shared" si="0"/>
        <v>0.186666666666667</v>
      </c>
      <c r="I18" s="4">
        <f t="shared" si="1"/>
        <v>0.599640933572711</v>
      </c>
      <c r="J18" s="7">
        <f ca="1">F18-IFERROR(VLOOKUP($A18,'0502'!$A$1:'0502'!G$48,6,FALSE),IFERROR(VLOOKUP($C18,'0502'!$C$1:'0502'!G$48,4,FALSE),F18-D18))</f>
        <v>7</v>
      </c>
      <c r="K18" s="8">
        <f ca="1">G18-IFERROR(VLOOKUP($A18,'0502'!$A$1:'0502'!H$44,7,FALSE),IFERROR(VLOOKUP($C18,'0502'!$C$1:'0502'!H$44,5,FALSE),G18-E18))</f>
        <v>0</v>
      </c>
      <c r="L18" s="4">
        <f ca="1" t="shared" si="2"/>
        <v>0</v>
      </c>
    </row>
    <row r="19" s="2" customFormat="1" spans="1:12">
      <c r="A19" s="2" t="s">
        <v>28</v>
      </c>
      <c r="B19" s="2" t="s">
        <v>10</v>
      </c>
      <c r="C19" s="9">
        <v>45768</v>
      </c>
      <c r="D19" s="2">
        <v>16</v>
      </c>
      <c r="E19" s="2">
        <v>6</v>
      </c>
      <c r="F19" s="2">
        <v>216</v>
      </c>
      <c r="G19" s="2">
        <v>603</v>
      </c>
      <c r="H19" s="4">
        <f t="shared" si="0"/>
        <v>0.375</v>
      </c>
      <c r="I19" s="4">
        <f t="shared" si="1"/>
        <v>2.79166666666667</v>
      </c>
      <c r="J19" s="7">
        <f ca="1">F19-IFERROR(VLOOKUP($A19,'0502'!$A$1:'0502'!G$48,6,FALSE),IFERROR(VLOOKUP($C19,'0502'!$C$1:'0502'!G$48,4,FALSE),F19-D19))</f>
        <v>1</v>
      </c>
      <c r="K19" s="8">
        <f ca="1">G19-IFERROR(VLOOKUP($A19,'0502'!$A$1:'0502'!H$44,7,FALSE),IFERROR(VLOOKUP($C19,'0502'!$C$1:'0502'!H$44,5,FALSE),G19-E19))</f>
        <v>0</v>
      </c>
      <c r="L19" s="4">
        <f ca="1" t="shared" si="2"/>
        <v>0</v>
      </c>
    </row>
    <row r="20" s="2" customFormat="1" spans="1:13">
      <c r="A20" s="2" t="s">
        <v>29</v>
      </c>
      <c r="B20" s="2" t="s">
        <v>10</v>
      </c>
      <c r="C20" s="9">
        <v>45768</v>
      </c>
      <c r="D20" s="2">
        <v>13</v>
      </c>
      <c r="E20" s="2">
        <v>43</v>
      </c>
      <c r="F20" s="2">
        <v>144</v>
      </c>
      <c r="G20" s="2">
        <v>469</v>
      </c>
      <c r="H20" s="4">
        <f t="shared" si="0"/>
        <v>3.30769230769231</v>
      </c>
      <c r="I20" s="4">
        <f t="shared" si="1"/>
        <v>3.25694444444444</v>
      </c>
      <c r="J20" s="7">
        <f ca="1">F20-IFERROR(VLOOKUP($A20,'0502'!$A$1:'0502'!G$48,6,FALSE),IFERROR(VLOOKUP($C20,'0502'!$C$1:'0502'!G$48,4,FALSE),F20-D20))</f>
        <v>0</v>
      </c>
      <c r="K20" s="8">
        <f ca="1">G20-IFERROR(VLOOKUP($A20,'0502'!$A$1:'0502'!H$44,7,FALSE),IFERROR(VLOOKUP($C20,'0502'!$C$1:'0502'!H$44,5,FALSE),G20-E20))</f>
        <v>0</v>
      </c>
      <c r="L20" s="4">
        <f ca="1" t="shared" si="2"/>
        <v>0</v>
      </c>
      <c r="M20" s="2" t="s">
        <v>30</v>
      </c>
    </row>
    <row r="21" s="2" customFormat="1" spans="1:12">
      <c r="A21" s="2" t="s">
        <v>32</v>
      </c>
      <c r="B21" s="2" t="s">
        <v>10</v>
      </c>
      <c r="C21" s="9">
        <v>45766</v>
      </c>
      <c r="D21" s="2">
        <v>127</v>
      </c>
      <c r="E21" s="2">
        <v>7</v>
      </c>
      <c r="F21" s="2">
        <v>885</v>
      </c>
      <c r="G21" s="2">
        <v>583</v>
      </c>
      <c r="H21" s="4">
        <f t="shared" si="0"/>
        <v>0.0551181102362205</v>
      </c>
      <c r="I21" s="4">
        <f t="shared" si="1"/>
        <v>0.658757062146893</v>
      </c>
      <c r="J21" s="7">
        <f ca="1">F21-IFERROR(VLOOKUP($A21,'0502'!$A$1:'0502'!G$48,6,FALSE),IFERROR(VLOOKUP($C21,'0502'!$C$1:'0502'!G$48,4,FALSE),F21-D21))</f>
        <v>2</v>
      </c>
      <c r="K21" s="8">
        <f ca="1">G21-IFERROR(VLOOKUP($A21,'0502'!$A$1:'0502'!H$44,7,FALSE),IFERROR(VLOOKUP($C21,'0502'!$C$1:'0502'!H$44,5,FALSE),G21-E21))</f>
        <v>0</v>
      </c>
      <c r="L21" s="4">
        <f ca="1" t="shared" si="2"/>
        <v>0</v>
      </c>
    </row>
    <row r="22" s="2" customFormat="1" spans="1:12">
      <c r="A22" s="2" t="s">
        <v>34</v>
      </c>
      <c r="B22" s="2" t="s">
        <v>10</v>
      </c>
      <c r="C22" s="9">
        <v>45765</v>
      </c>
      <c r="D22" s="2">
        <v>14</v>
      </c>
      <c r="E22" s="2">
        <v>6</v>
      </c>
      <c r="F22" s="2">
        <v>401</v>
      </c>
      <c r="G22" s="2">
        <v>452</v>
      </c>
      <c r="H22" s="4">
        <f t="shared" si="0"/>
        <v>0.428571428571429</v>
      </c>
      <c r="I22" s="4">
        <f t="shared" si="1"/>
        <v>1.12718204488778</v>
      </c>
      <c r="J22" s="7">
        <f ca="1">F22-IFERROR(VLOOKUP($A22,'0502'!$A$1:'0502'!G$48,6,FALSE),IFERROR(VLOOKUP($C22,'0502'!$C$1:'0502'!G$48,4,FALSE),F22-D22))</f>
        <v>0</v>
      </c>
      <c r="K22" s="8">
        <f ca="1">G22-IFERROR(VLOOKUP($A22,'0502'!$A$1:'0502'!H$44,7,FALSE),IFERROR(VLOOKUP($C22,'0502'!$C$1:'0502'!H$44,5,FALSE),G22-E22))</f>
        <v>0</v>
      </c>
      <c r="L22" s="4">
        <f ca="1" t="shared" si="2"/>
        <v>0</v>
      </c>
    </row>
    <row r="23" s="2" customFormat="1" spans="1:12">
      <c r="A23" s="2" t="s">
        <v>37</v>
      </c>
      <c r="B23" s="2" t="s">
        <v>10</v>
      </c>
      <c r="C23" s="9">
        <v>45764</v>
      </c>
      <c r="D23" s="2">
        <v>15</v>
      </c>
      <c r="E23" s="2">
        <v>7</v>
      </c>
      <c r="F23" s="2">
        <v>164</v>
      </c>
      <c r="G23" s="2">
        <v>541</v>
      </c>
      <c r="H23" s="4">
        <f t="shared" si="0"/>
        <v>0.466666666666667</v>
      </c>
      <c r="I23" s="4">
        <f t="shared" si="1"/>
        <v>3.29878048780488</v>
      </c>
      <c r="J23" s="7">
        <f ca="1">F23-IFERROR(VLOOKUP($A23,'0502'!$A$1:'0502'!G$48,6,FALSE),IFERROR(VLOOKUP($C23,'0502'!$C$1:'0502'!G$48,4,FALSE),F23-D23))</f>
        <v>3</v>
      </c>
      <c r="K23" s="8">
        <f ca="1">G23-IFERROR(VLOOKUP($A23,'0502'!$A$1:'0502'!H$44,7,FALSE),IFERROR(VLOOKUP($C23,'0502'!$C$1:'0502'!H$44,5,FALSE),G23-E23))</f>
        <v>0</v>
      </c>
      <c r="L23" s="4">
        <f ca="1" t="shared" si="2"/>
        <v>0</v>
      </c>
    </row>
    <row r="24" s="2" customFormat="1" spans="1:12">
      <c r="A24" s="2" t="s">
        <v>38</v>
      </c>
      <c r="B24" s="2" t="s">
        <v>10</v>
      </c>
      <c r="C24" s="9">
        <v>45764</v>
      </c>
      <c r="D24" s="2">
        <v>61</v>
      </c>
      <c r="E24" s="2">
        <v>7</v>
      </c>
      <c r="F24" s="2">
        <v>356</v>
      </c>
      <c r="G24" s="2">
        <v>261</v>
      </c>
      <c r="H24" s="4">
        <f t="shared" si="0"/>
        <v>0.114754098360656</v>
      </c>
      <c r="I24" s="4">
        <f t="shared" si="1"/>
        <v>0.73314606741573</v>
      </c>
      <c r="J24" s="7">
        <f ca="1">F24-IFERROR(VLOOKUP($A24,'0502'!$A$1:'0502'!G$48,6,FALSE),IFERROR(VLOOKUP($C24,'0502'!$C$1:'0502'!G$48,4,FALSE),F24-D24))</f>
        <v>4</v>
      </c>
      <c r="K24" s="8">
        <f ca="1">G24-IFERROR(VLOOKUP($A24,'0502'!$A$1:'0502'!H$44,7,FALSE),IFERROR(VLOOKUP($C24,'0502'!$C$1:'0502'!H$44,5,FALSE),G24-E24))</f>
        <v>0</v>
      </c>
      <c r="L24" s="4">
        <f ca="1" t="shared" si="2"/>
        <v>0</v>
      </c>
    </row>
    <row r="25" s="2" customFormat="1" spans="1:12">
      <c r="A25" s="2" t="s">
        <v>39</v>
      </c>
      <c r="B25" s="2" t="s">
        <v>10</v>
      </c>
      <c r="C25" s="9">
        <v>45763</v>
      </c>
      <c r="D25" s="2">
        <v>68</v>
      </c>
      <c r="E25" s="2">
        <v>4</v>
      </c>
      <c r="F25" s="2">
        <v>651</v>
      </c>
      <c r="G25" s="2">
        <v>370</v>
      </c>
      <c r="H25" s="4">
        <f t="shared" si="0"/>
        <v>0.0588235294117647</v>
      </c>
      <c r="I25" s="4">
        <f t="shared" si="1"/>
        <v>0.568356374807988</v>
      </c>
      <c r="J25" s="7">
        <f ca="1">F25-IFERROR(VLOOKUP($A25,'0502'!$A$1:'0502'!G$48,6,FALSE),IFERROR(VLOOKUP($C25,'0502'!$C$1:'0502'!G$48,4,FALSE),F25-D25))</f>
        <v>2</v>
      </c>
      <c r="K25" s="8">
        <f ca="1">G25-IFERROR(VLOOKUP($A25,'0502'!$A$1:'0502'!H$44,7,FALSE),IFERROR(VLOOKUP($C25,'0502'!$C$1:'0502'!H$44,5,FALSE),G25-E25))</f>
        <v>0</v>
      </c>
      <c r="L25" s="4">
        <f ca="1" t="shared" si="2"/>
        <v>0</v>
      </c>
    </row>
    <row r="26" s="2" customFormat="1" spans="1:13">
      <c r="A26" s="2" t="s">
        <v>40</v>
      </c>
      <c r="B26" s="2" t="s">
        <v>10</v>
      </c>
      <c r="C26" s="9">
        <v>45763</v>
      </c>
      <c r="D26" s="2">
        <v>2</v>
      </c>
      <c r="E26" s="2">
        <v>4</v>
      </c>
      <c r="F26" s="2">
        <v>130</v>
      </c>
      <c r="G26" s="2">
        <v>198</v>
      </c>
      <c r="H26" s="4">
        <f t="shared" si="0"/>
        <v>2</v>
      </c>
      <c r="I26" s="4">
        <f t="shared" si="1"/>
        <v>1.52307692307692</v>
      </c>
      <c r="J26" s="7">
        <f ca="1">F26-IFERROR(VLOOKUP($A26,'0502'!$A$1:'0502'!G$48,6,FALSE),IFERROR(VLOOKUP($C26,'0502'!$C$1:'0502'!G$48,4,FALSE),F26-D26))</f>
        <v>0</v>
      </c>
      <c r="K26" s="8">
        <f ca="1">G26-IFERROR(VLOOKUP($A26,'0502'!$A$1:'0502'!H$44,7,FALSE),IFERROR(VLOOKUP($C26,'0502'!$C$1:'0502'!H$44,5,FALSE),G26-E26))</f>
        <v>0</v>
      </c>
      <c r="L26" s="4">
        <f ca="1" t="shared" si="2"/>
        <v>0</v>
      </c>
      <c r="M26" s="2" t="s">
        <v>41</v>
      </c>
    </row>
    <row r="27" s="2" customFormat="1" spans="1:13">
      <c r="A27" s="2" t="s">
        <v>42</v>
      </c>
      <c r="B27" s="2" t="s">
        <v>10</v>
      </c>
      <c r="C27" s="9">
        <v>45762</v>
      </c>
      <c r="D27" s="2">
        <v>7</v>
      </c>
      <c r="E27" s="2">
        <v>6</v>
      </c>
      <c r="F27" s="2">
        <v>598</v>
      </c>
      <c r="G27" s="2">
        <v>641</v>
      </c>
      <c r="H27" s="4">
        <f t="shared" si="0"/>
        <v>0.857142857142857</v>
      </c>
      <c r="I27" s="4">
        <f t="shared" si="1"/>
        <v>1.07190635451505</v>
      </c>
      <c r="J27" s="7">
        <f ca="1">F27-IFERROR(VLOOKUP($A27,'0502'!$A$1:'0502'!G$48,6,FALSE),IFERROR(VLOOKUP($C27,'0502'!$C$1:'0502'!G$48,4,FALSE),F27-D27))</f>
        <v>3</v>
      </c>
      <c r="K27" s="8">
        <f ca="1">G27-IFERROR(VLOOKUP($A27,'0502'!$A$1:'0502'!H$44,7,FALSE),IFERROR(VLOOKUP($C27,'0502'!$C$1:'0502'!H$44,5,FALSE),G27-E27))</f>
        <v>0</v>
      </c>
      <c r="L27" s="4">
        <f ca="1" t="shared" si="2"/>
        <v>0</v>
      </c>
      <c r="M27" s="2" t="s">
        <v>43</v>
      </c>
    </row>
    <row r="28" s="2" customFormat="1" spans="1:13">
      <c r="A28" s="2" t="s">
        <v>44</v>
      </c>
      <c r="B28" s="2" t="s">
        <v>10</v>
      </c>
      <c r="C28" s="9">
        <v>45761</v>
      </c>
      <c r="D28" s="2">
        <v>27</v>
      </c>
      <c r="E28" s="2">
        <v>12</v>
      </c>
      <c r="F28" s="2">
        <v>1056</v>
      </c>
      <c r="G28" s="2">
        <v>919</v>
      </c>
      <c r="H28" s="4">
        <f t="shared" si="0"/>
        <v>0.444444444444444</v>
      </c>
      <c r="I28" s="4">
        <f t="shared" si="1"/>
        <v>0.870265151515151</v>
      </c>
      <c r="J28" s="7">
        <f ca="1">F28-IFERROR(VLOOKUP($A28,'0502'!$A$1:'0502'!G$48,6,FALSE),IFERROR(VLOOKUP($C28,'0502'!$C$1:'0502'!G$48,4,FALSE),F28-D28))</f>
        <v>1</v>
      </c>
      <c r="K28" s="8">
        <f ca="1">G28-IFERROR(VLOOKUP($A28,'0502'!$A$1:'0502'!H$44,7,FALSE),IFERROR(VLOOKUP($C28,'0502'!$C$1:'0502'!H$44,5,FALSE),G28-E28))</f>
        <v>6</v>
      </c>
      <c r="L28" s="4">
        <f ca="1" t="shared" si="2"/>
        <v>6</v>
      </c>
      <c r="M28" s="2" t="s">
        <v>45</v>
      </c>
    </row>
    <row r="29" s="2" customFormat="1" spans="1:13">
      <c r="A29" s="2" t="s">
        <v>46</v>
      </c>
      <c r="B29" s="2" t="s">
        <v>10</v>
      </c>
      <c r="C29" s="9">
        <v>45757</v>
      </c>
      <c r="D29" s="2">
        <v>10</v>
      </c>
      <c r="E29" s="2">
        <v>6</v>
      </c>
      <c r="F29" s="2">
        <v>626</v>
      </c>
      <c r="G29" s="2">
        <v>763</v>
      </c>
      <c r="H29" s="4">
        <f t="shared" si="0"/>
        <v>0.6</v>
      </c>
      <c r="I29" s="4">
        <f t="shared" si="1"/>
        <v>1.21884984025559</v>
      </c>
      <c r="J29" s="7">
        <f ca="1">F29-IFERROR(VLOOKUP($A29,'0502'!$A$1:'0502'!G$48,6,FALSE),IFERROR(VLOOKUP($C29,'0502'!$C$1:'0502'!G$48,4,FALSE),F29-D29))</f>
        <v>1</v>
      </c>
      <c r="K29" s="8">
        <f ca="1">G29-IFERROR(VLOOKUP($A29,'0502'!$A$1:'0502'!H$44,7,FALSE),IFERROR(VLOOKUP($C29,'0502'!$C$1:'0502'!H$44,5,FALSE),G29-E29))</f>
        <v>0</v>
      </c>
      <c r="L29" s="4">
        <f ca="1" t="shared" si="2"/>
        <v>0</v>
      </c>
      <c r="M29" s="2" t="s">
        <v>47</v>
      </c>
    </row>
    <row r="30" s="2" customFormat="1" spans="1:13">
      <c r="A30" s="2" t="s">
        <v>48</v>
      </c>
      <c r="B30" s="2" t="s">
        <v>10</v>
      </c>
      <c r="C30" s="9">
        <v>45750</v>
      </c>
      <c r="D30" s="2">
        <v>3</v>
      </c>
      <c r="E30" s="2">
        <v>12</v>
      </c>
      <c r="F30" s="2">
        <v>225</v>
      </c>
      <c r="G30" s="2">
        <v>542</v>
      </c>
      <c r="H30" s="4">
        <f t="shared" si="0"/>
        <v>4</v>
      </c>
      <c r="I30" s="4">
        <f t="shared" si="1"/>
        <v>2.40888888888889</v>
      </c>
      <c r="J30" s="7">
        <f ca="1">F30-IFERROR(VLOOKUP($A30,'0502'!$A$1:'0502'!G$48,6,FALSE),IFERROR(VLOOKUP($C30,'0502'!$C$1:'0502'!G$48,4,FALSE),F30-D30))</f>
        <v>0</v>
      </c>
      <c r="K30" s="8">
        <f ca="1">G30-IFERROR(VLOOKUP($A30,'0502'!$A$1:'0502'!H$44,7,FALSE),IFERROR(VLOOKUP($C30,'0502'!$C$1:'0502'!H$44,5,FALSE),G30-E30))</f>
        <v>0</v>
      </c>
      <c r="L30" s="4">
        <f ca="1" t="shared" si="2"/>
        <v>0</v>
      </c>
      <c r="M30" s="2" t="s">
        <v>49</v>
      </c>
    </row>
    <row r="31" s="2" customFormat="1" spans="1:13">
      <c r="A31" s="2" t="s">
        <v>50</v>
      </c>
      <c r="B31" s="2" t="s">
        <v>10</v>
      </c>
      <c r="C31" s="9">
        <v>45748</v>
      </c>
      <c r="D31" s="2">
        <v>51</v>
      </c>
      <c r="E31" s="2">
        <v>13</v>
      </c>
      <c r="F31" s="2">
        <v>224470</v>
      </c>
      <c r="G31" s="2">
        <v>10593</v>
      </c>
      <c r="H31" s="4">
        <f t="shared" si="0"/>
        <v>0.254901960784314</v>
      </c>
      <c r="I31" s="4">
        <f t="shared" si="1"/>
        <v>0.0471911614024146</v>
      </c>
      <c r="J31" s="7">
        <f ca="1">F31-IFERROR(VLOOKUP($A31,'0502'!$A$1:'0502'!G$48,6,FALSE),IFERROR(VLOOKUP($C31,'0502'!$C$1:'0502'!G$48,4,FALSE),F31-D31))</f>
        <v>5</v>
      </c>
      <c r="K31" s="8">
        <f ca="1">G31-IFERROR(VLOOKUP($A31,'0502'!$A$1:'0502'!H$44,7,FALSE),IFERROR(VLOOKUP($C31,'0502'!$C$1:'0502'!H$44,5,FALSE),G31-E31))</f>
        <v>0</v>
      </c>
      <c r="L31" s="4">
        <f ca="1" t="shared" si="2"/>
        <v>0</v>
      </c>
      <c r="M31" s="2" t="s">
        <v>51</v>
      </c>
    </row>
    <row r="32" s="2" customFormat="1" spans="1:13">
      <c r="A32" s="2" t="s">
        <v>52</v>
      </c>
      <c r="B32" s="2" t="s">
        <v>10</v>
      </c>
      <c r="C32" s="9">
        <v>45743</v>
      </c>
      <c r="D32" s="2">
        <v>68</v>
      </c>
      <c r="E32" s="2">
        <v>15</v>
      </c>
      <c r="F32" s="2">
        <v>4893</v>
      </c>
      <c r="G32" s="2">
        <v>1991</v>
      </c>
      <c r="H32" s="4">
        <f t="shared" si="0"/>
        <v>0.220588235294118</v>
      </c>
      <c r="I32" s="4">
        <f t="shared" si="1"/>
        <v>0.406907827508686</v>
      </c>
      <c r="J32" s="7">
        <f ca="1">F32-IFERROR(VLOOKUP($A32,'0502'!$A$1:'0502'!G$48,6,FALSE),IFERROR(VLOOKUP($C32,'0502'!$C$1:'0502'!G$48,4,FALSE),F32-D32))</f>
        <v>8</v>
      </c>
      <c r="K32" s="8">
        <f ca="1">G32-IFERROR(VLOOKUP($A32,'0502'!$A$1:'0502'!H$44,7,FALSE),IFERROR(VLOOKUP($C32,'0502'!$C$1:'0502'!H$44,5,FALSE),G32-E32))</f>
        <v>5</v>
      </c>
      <c r="L32" s="4">
        <f ca="1" t="shared" si="2"/>
        <v>0.625</v>
      </c>
      <c r="M32" s="2" t="s">
        <v>53</v>
      </c>
    </row>
    <row r="33" s="2" customFormat="1" spans="1:13">
      <c r="A33" s="2" t="s">
        <v>54</v>
      </c>
      <c r="B33" s="2" t="s">
        <v>10</v>
      </c>
      <c r="C33" s="9">
        <v>45741</v>
      </c>
      <c r="D33" s="2">
        <v>109</v>
      </c>
      <c r="E33" s="2">
        <v>10</v>
      </c>
      <c r="F33" s="2">
        <v>1213</v>
      </c>
      <c r="G33" s="2">
        <v>687</v>
      </c>
      <c r="H33" s="4">
        <f t="shared" si="0"/>
        <v>0.0917431192660551</v>
      </c>
      <c r="I33" s="4">
        <f t="shared" si="1"/>
        <v>0.56636438582028</v>
      </c>
      <c r="J33" s="7">
        <f ca="1">F33-IFERROR(VLOOKUP($A33,'0502'!$A$1:'0502'!G$48,6,FALSE),IFERROR(VLOOKUP($C33,'0502'!$C$1:'0502'!G$48,4,FALSE),F33-D33))</f>
        <v>12</v>
      </c>
      <c r="K33" s="8">
        <f ca="1">G33-IFERROR(VLOOKUP($A33,'0502'!$A$1:'0502'!H$44,7,FALSE),IFERROR(VLOOKUP($C33,'0502'!$C$1:'0502'!H$44,5,FALSE),G33-E33))</f>
        <v>5</v>
      </c>
      <c r="L33" s="4">
        <f ca="1" t="shared" si="2"/>
        <v>0.416666666666667</v>
      </c>
      <c r="M33" s="13" t="s">
        <v>55</v>
      </c>
    </row>
    <row r="34" s="2" customFormat="1" spans="1:13">
      <c r="A34" s="2" t="s">
        <v>56</v>
      </c>
      <c r="B34" s="2" t="s">
        <v>10</v>
      </c>
      <c r="C34" s="9">
        <v>45734</v>
      </c>
      <c r="D34" s="2">
        <v>34</v>
      </c>
      <c r="E34" s="2">
        <v>5</v>
      </c>
      <c r="F34" s="2">
        <v>494</v>
      </c>
      <c r="G34" s="2">
        <v>670</v>
      </c>
      <c r="H34" s="4">
        <f t="shared" si="0"/>
        <v>0.147058823529412</v>
      </c>
      <c r="I34" s="4">
        <f t="shared" si="1"/>
        <v>1.35627530364372</v>
      </c>
      <c r="J34" s="7">
        <f ca="1">F34-IFERROR(VLOOKUP($A34,'0502'!$A$1:'0502'!G$48,6,FALSE),IFERROR(VLOOKUP($C34,'0502'!$C$1:'0502'!G$48,4,FALSE),F34-D34))</f>
        <v>0</v>
      </c>
      <c r="K34" s="8">
        <f ca="1">G34-IFERROR(VLOOKUP($A34,'0502'!$A$1:'0502'!H$44,7,FALSE),IFERROR(VLOOKUP($C34,'0502'!$C$1:'0502'!H$44,5,FALSE),G34-E34))</f>
        <v>0</v>
      </c>
      <c r="L34" s="4">
        <f ca="1" t="shared" si="2"/>
        <v>0</v>
      </c>
      <c r="M34" s="2" t="s">
        <v>57</v>
      </c>
    </row>
    <row r="35" s="2" customFormat="1" spans="1:13">
      <c r="A35" s="2" t="s">
        <v>58</v>
      </c>
      <c r="B35" s="2" t="s">
        <v>10</v>
      </c>
      <c r="C35" s="9">
        <v>45719</v>
      </c>
      <c r="D35" s="2">
        <v>9</v>
      </c>
      <c r="E35" s="2">
        <v>10</v>
      </c>
      <c r="F35" s="2">
        <v>379</v>
      </c>
      <c r="G35" s="2">
        <v>657</v>
      </c>
      <c r="H35" s="4">
        <f t="shared" si="0"/>
        <v>1.11111111111111</v>
      </c>
      <c r="I35" s="4">
        <f t="shared" si="1"/>
        <v>1.7335092348285</v>
      </c>
      <c r="J35" s="7">
        <f ca="1">F35-IFERROR(VLOOKUP($A35,'0502'!$A$1:'0502'!G$48,6,FALSE),IFERROR(VLOOKUP($C35,'0502'!$C$1:'0502'!G$48,4,FALSE),F35-D35))</f>
        <v>0</v>
      </c>
      <c r="K35" s="8">
        <f ca="1">G35-IFERROR(VLOOKUP($A35,'0502'!$A$1:'0502'!H$44,7,FALSE),IFERROR(VLOOKUP($C35,'0502'!$C$1:'0502'!H$44,5,FALSE),G35-E35))</f>
        <v>0</v>
      </c>
      <c r="L35" s="4">
        <f ca="1" t="shared" si="2"/>
        <v>0</v>
      </c>
      <c r="M35" s="2" t="s">
        <v>59</v>
      </c>
    </row>
    <row r="36" s="2" customFormat="1" spans="1:13">
      <c r="A36" s="2" t="s">
        <v>60</v>
      </c>
      <c r="B36" s="2" t="s">
        <v>10</v>
      </c>
      <c r="C36" s="9">
        <v>45713</v>
      </c>
      <c r="D36" s="2">
        <v>10</v>
      </c>
      <c r="E36" s="2">
        <v>31</v>
      </c>
      <c r="F36" s="2">
        <v>225</v>
      </c>
      <c r="G36" s="2">
        <v>589</v>
      </c>
      <c r="H36" s="4">
        <f t="shared" si="0"/>
        <v>3.1</v>
      </c>
      <c r="I36" s="4">
        <f t="shared" si="1"/>
        <v>2.61777777777778</v>
      </c>
      <c r="J36" s="7">
        <f ca="1">F36-IFERROR(VLOOKUP($A36,'0502'!$A$1:'0502'!G$48,6,FALSE),IFERROR(VLOOKUP($C36,'0502'!$C$1:'0502'!G$48,4,FALSE),F36-D36))</f>
        <v>0</v>
      </c>
      <c r="K36" s="8">
        <f ca="1">G36-IFERROR(VLOOKUP($A36,'0502'!$A$1:'0502'!H$44,7,FALSE),IFERROR(VLOOKUP($C36,'0502'!$C$1:'0502'!H$44,5,FALSE),G36-E36))</f>
        <v>0</v>
      </c>
      <c r="L36" s="4">
        <f ca="1" t="shared" si="2"/>
        <v>0</v>
      </c>
      <c r="M36" s="2" t="s">
        <v>61</v>
      </c>
    </row>
    <row r="37" s="2" customFormat="1" spans="1:13">
      <c r="A37" s="2" t="s">
        <v>62</v>
      </c>
      <c r="B37" s="2" t="s">
        <v>10</v>
      </c>
      <c r="C37" s="9">
        <v>45691</v>
      </c>
      <c r="D37" s="2">
        <v>31</v>
      </c>
      <c r="E37" s="2">
        <v>5</v>
      </c>
      <c r="F37" s="2">
        <v>321</v>
      </c>
      <c r="G37" s="2">
        <v>36</v>
      </c>
      <c r="H37" s="4">
        <f t="shared" si="0"/>
        <v>0.161290322580645</v>
      </c>
      <c r="I37" s="4">
        <f t="shared" si="1"/>
        <v>0.11214953271028</v>
      </c>
      <c r="J37" s="7">
        <f ca="1">F37-IFERROR(VLOOKUP($A37,'0502'!$A$1:'0502'!G$48,6,FALSE),IFERROR(VLOOKUP($C37,'0502'!$C$1:'0502'!G$48,4,FALSE),F37-D37))</f>
        <v>2</v>
      </c>
      <c r="K37" s="8">
        <f ca="1">G37-IFERROR(VLOOKUP($A37,'0502'!$A$1:'0502'!H$44,7,FALSE),IFERROR(VLOOKUP($C37,'0502'!$C$1:'0502'!H$44,5,FALSE),G37-E37))</f>
        <v>0</v>
      </c>
      <c r="L37" s="4">
        <f ca="1" t="shared" si="2"/>
        <v>0</v>
      </c>
      <c r="M37" s="2" t="s">
        <v>63</v>
      </c>
    </row>
    <row r="38" s="2" customFormat="1" spans="1:13">
      <c r="A38" s="2" t="s">
        <v>64</v>
      </c>
      <c r="B38" s="2" t="s">
        <v>10</v>
      </c>
      <c r="C38" s="9">
        <v>45598</v>
      </c>
      <c r="D38" s="2">
        <v>65</v>
      </c>
      <c r="E38" s="2">
        <v>2</v>
      </c>
      <c r="F38" s="2">
        <v>1277</v>
      </c>
      <c r="G38" s="2">
        <v>789</v>
      </c>
      <c r="H38" s="4">
        <f t="shared" si="0"/>
        <v>0.0307692307692308</v>
      </c>
      <c r="I38" s="4">
        <f t="shared" si="1"/>
        <v>0.617854346123727</v>
      </c>
      <c r="J38" s="7">
        <f ca="1">F38-IFERROR(VLOOKUP($A38,'0502'!$A$1:'0502'!G$48,6,FALSE),IFERROR(VLOOKUP($C38,'0502'!$C$1:'0502'!G$48,4,FALSE),F38-D38))</f>
        <v>4</v>
      </c>
      <c r="K38" s="8">
        <f ca="1">G38-IFERROR(VLOOKUP($A38,'0502'!$A$1:'0502'!H$44,7,FALSE),IFERROR(VLOOKUP($C38,'0502'!$C$1:'0502'!H$44,5,FALSE),G38-E38))</f>
        <v>0</v>
      </c>
      <c r="L38" s="4">
        <f ca="1" t="shared" si="2"/>
        <v>0</v>
      </c>
      <c r="M38" s="2" t="s">
        <v>65</v>
      </c>
    </row>
    <row r="39" spans="11:11">
      <c r="K39" s="2">
        <f ca="1">SUM(K2:K38)</f>
        <v>247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5"/>
  <sheetViews>
    <sheetView topLeftCell="A10" workbookViewId="0">
      <selection activeCell="A19" sqref="$A19:$XFD19"/>
    </sheetView>
  </sheetViews>
  <sheetFormatPr defaultColWidth="10" defaultRowHeight="14.4"/>
  <cols>
    <col min="1" max="1" width="55.7777777777778" style="2" customWidth="1"/>
    <col min="2" max="2" width="10" style="2" hidden="1" customWidth="1"/>
    <col min="3" max="3" width="10" style="2"/>
    <col min="4" max="5" width="5.88888888888889" style="2" customWidth="1"/>
    <col min="6" max="6" width="8.77777777777778" style="2" customWidth="1"/>
    <col min="7" max="7" width="5.88888888888889" style="2" customWidth="1"/>
    <col min="8" max="9" width="6.77777777777778" style="2" customWidth="1"/>
    <col min="10" max="10" width="7.66666666666667" style="2" customWidth="1"/>
    <col min="11" max="12" width="6.77777777777778" style="2" customWidth="1"/>
    <col min="13" max="13" width="18.6666666666667" style="2" customWidth="1"/>
    <col min="14" max="16384" width="10" style="2"/>
  </cols>
  <sheetData>
    <row r="1" s="2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J1" s="5" t="s">
        <v>7</v>
      </c>
      <c r="K1" s="5" t="s">
        <v>8</v>
      </c>
    </row>
    <row r="2" s="2" customFormat="1" spans="1:12">
      <c r="A2" s="2" t="s">
        <v>69</v>
      </c>
      <c r="B2" s="2" t="s">
        <v>10</v>
      </c>
      <c r="C2" s="9">
        <v>45780</v>
      </c>
      <c r="D2" s="2">
        <v>508</v>
      </c>
      <c r="E2" s="2">
        <v>249</v>
      </c>
      <c r="F2" s="2">
        <v>508</v>
      </c>
      <c r="G2" s="2">
        <v>249</v>
      </c>
      <c r="H2" s="4">
        <f t="shared" ref="H2:H38" si="0">E2/D2</f>
        <v>0.490157480314961</v>
      </c>
      <c r="I2" s="4">
        <f t="shared" ref="I2:I38" si="1">G2/F2</f>
        <v>0.490157480314961</v>
      </c>
      <c r="J2" s="7">
        <f ca="1">F2-IFERROR(VLOOKUP($A2,'0503'!$A$1:'0503'!G$48,6,FALSE),IFERROR(VLOOKUP($C2,'0503'!$C$1:'0503'!G$48,4,FALSE),F2-D2))</f>
        <v>508</v>
      </c>
      <c r="K2" s="8">
        <f ca="1">G2-IFERROR(VLOOKUP($A2,'0503'!$A$1:'0503'!H$44,7,FALSE),IFERROR(VLOOKUP($C2,'0503'!$C$1:'0503'!H$44,5,FALSE),G2-E2))</f>
        <v>249</v>
      </c>
      <c r="L2" s="4">
        <f ca="1" t="shared" ref="L2:L38" si="2">IFERROR(K2/J2,)</f>
        <v>0.490157480314961</v>
      </c>
    </row>
    <row r="3" s="2" customFormat="1" spans="1:12">
      <c r="A3" s="2" t="s">
        <v>68</v>
      </c>
      <c r="B3" s="2" t="s">
        <v>10</v>
      </c>
      <c r="C3" s="9">
        <v>45779</v>
      </c>
      <c r="D3" s="2">
        <v>117</v>
      </c>
      <c r="E3" s="2">
        <v>114</v>
      </c>
      <c r="F3" s="2">
        <v>117</v>
      </c>
      <c r="G3" s="2">
        <v>114</v>
      </c>
      <c r="H3" s="4">
        <f t="shared" si="0"/>
        <v>0.974358974358974</v>
      </c>
      <c r="I3" s="4">
        <f t="shared" si="1"/>
        <v>0.974358974358974</v>
      </c>
      <c r="J3" s="7">
        <f ca="1">F3-IFERROR(VLOOKUP($A3,'0503'!$A$1:'0503'!G$48,6,FALSE),IFERROR(VLOOKUP($C3,'0503'!$C$1:'0503'!G$48,4,FALSE),F3-D3))</f>
        <v>17</v>
      </c>
      <c r="K3" s="8">
        <f ca="1">G3-IFERROR(VLOOKUP($A3,'0503'!$A$1:'0503'!H$44,7,FALSE),IFERROR(VLOOKUP($C3,'0503'!$C$1:'0503'!H$44,5,FALSE),G3-E3))</f>
        <v>30</v>
      </c>
      <c r="L3" s="4">
        <f ca="1" t="shared" si="2"/>
        <v>1.76470588235294</v>
      </c>
    </row>
    <row r="4" s="2" customFormat="1" spans="1:12">
      <c r="A4" s="2" t="s">
        <v>66</v>
      </c>
      <c r="B4" s="2" t="s">
        <v>10</v>
      </c>
      <c r="C4" s="9">
        <v>45778</v>
      </c>
      <c r="D4" s="2">
        <v>336</v>
      </c>
      <c r="E4" s="2">
        <v>140</v>
      </c>
      <c r="F4" s="2">
        <v>336</v>
      </c>
      <c r="G4" s="2">
        <v>140</v>
      </c>
      <c r="H4" s="4">
        <f t="shared" si="0"/>
        <v>0.416666666666667</v>
      </c>
      <c r="I4" s="4">
        <f t="shared" si="1"/>
        <v>0.416666666666667</v>
      </c>
      <c r="J4" s="7">
        <f ca="1">F4-IFERROR(VLOOKUP($A4,'0503'!$A$1:'0503'!G$48,6,FALSE),IFERROR(VLOOKUP($C4,'0503'!$C$1:'0503'!G$48,4,FALSE),F4-D4))</f>
        <v>26</v>
      </c>
      <c r="K4" s="8">
        <f ca="1">G4-IFERROR(VLOOKUP($A4,'0503'!$A$1:'0503'!H$44,7,FALSE),IFERROR(VLOOKUP($C4,'0503'!$C$1:'0503'!H$44,5,FALSE),G4-E4))</f>
        <v>0</v>
      </c>
      <c r="L4" s="4">
        <f ca="1" t="shared" si="2"/>
        <v>0</v>
      </c>
    </row>
    <row r="5" s="2" customFormat="1" spans="1:12">
      <c r="A5" s="2" t="s">
        <v>9</v>
      </c>
      <c r="B5" s="2" t="s">
        <v>10</v>
      </c>
      <c r="C5" s="9">
        <v>45777</v>
      </c>
      <c r="D5" s="2">
        <v>189</v>
      </c>
      <c r="E5" s="2">
        <v>283</v>
      </c>
      <c r="F5" s="2">
        <v>189</v>
      </c>
      <c r="G5" s="2">
        <v>283</v>
      </c>
      <c r="H5" s="4">
        <f t="shared" si="0"/>
        <v>1.4973544973545</v>
      </c>
      <c r="I5" s="4">
        <f t="shared" si="1"/>
        <v>1.4973544973545</v>
      </c>
      <c r="J5" s="7">
        <f ca="1">F5-IFERROR(VLOOKUP($A5,'0503'!$A$1:'0503'!G$48,6,FALSE),IFERROR(VLOOKUP($C5,'0503'!$C$1:'0503'!G$48,4,FALSE),F5-D5))</f>
        <v>7</v>
      </c>
      <c r="K5" s="8">
        <f ca="1">G5-IFERROR(VLOOKUP($A5,'0503'!$A$1:'0503'!H$44,7,FALSE),IFERROR(VLOOKUP($C5,'0503'!$C$1:'0503'!H$44,5,FALSE),G5-E5))</f>
        <v>0</v>
      </c>
      <c r="L5" s="4">
        <f ca="1" t="shared" si="2"/>
        <v>0</v>
      </c>
    </row>
    <row r="6" s="2" customFormat="1" spans="1:13">
      <c r="A6" s="2" t="s">
        <v>11</v>
      </c>
      <c r="B6" s="2" t="s">
        <v>10</v>
      </c>
      <c r="C6" s="9">
        <v>45777</v>
      </c>
      <c r="D6" s="2">
        <v>92</v>
      </c>
      <c r="E6" s="2">
        <v>260</v>
      </c>
      <c r="F6" s="2">
        <v>92</v>
      </c>
      <c r="G6" s="2">
        <v>260</v>
      </c>
      <c r="H6" s="4">
        <f t="shared" si="0"/>
        <v>2.82608695652174</v>
      </c>
      <c r="I6" s="4">
        <f t="shared" si="1"/>
        <v>2.82608695652174</v>
      </c>
      <c r="J6" s="7">
        <f ca="1">F6-IFERROR(VLOOKUP($A6,'0503'!$A$1:'0503'!G$48,6,FALSE),IFERROR(VLOOKUP($C6,'0503'!$C$1:'0503'!G$48,4,FALSE),F6-D6))</f>
        <v>6</v>
      </c>
      <c r="K6" s="8">
        <f ca="1">G6-IFERROR(VLOOKUP($A6,'0503'!$A$1:'0503'!H$44,7,FALSE),IFERROR(VLOOKUP($C6,'0503'!$C$1:'0503'!H$44,5,FALSE),G6-E6))</f>
        <v>38</v>
      </c>
      <c r="L6" s="4">
        <f ca="1" t="shared" si="2"/>
        <v>6.33333333333333</v>
      </c>
      <c r="M6" s="2" t="s">
        <v>67</v>
      </c>
    </row>
    <row r="7" s="2" customFormat="1" spans="1:12">
      <c r="A7" s="2" t="s">
        <v>12</v>
      </c>
      <c r="B7" s="2" t="s">
        <v>10</v>
      </c>
      <c r="C7" s="9">
        <v>45776</v>
      </c>
      <c r="D7" s="2">
        <v>563</v>
      </c>
      <c r="E7" s="2">
        <v>393</v>
      </c>
      <c r="F7" s="2">
        <v>563</v>
      </c>
      <c r="G7" s="2">
        <v>393</v>
      </c>
      <c r="H7" s="4">
        <f t="shared" si="0"/>
        <v>0.698046181172291</v>
      </c>
      <c r="I7" s="4">
        <f t="shared" si="1"/>
        <v>0.698046181172291</v>
      </c>
      <c r="J7" s="7">
        <f ca="1">F7-IFERROR(VLOOKUP($A7,'0503'!$A$1:'0503'!G$48,6,FALSE),IFERROR(VLOOKUP($C7,'0503'!$C$1:'0503'!G$48,4,FALSE),F7-D7))</f>
        <v>47</v>
      </c>
      <c r="K7" s="8">
        <f ca="1">G7-IFERROR(VLOOKUP($A7,'0503'!$A$1:'0503'!H$44,7,FALSE),IFERROR(VLOOKUP($C7,'0503'!$C$1:'0503'!H$44,5,FALSE),G7-E7))</f>
        <v>0</v>
      </c>
      <c r="L7" s="4">
        <f ca="1" t="shared" si="2"/>
        <v>0</v>
      </c>
    </row>
    <row r="8" s="2" customFormat="1" spans="1:12">
      <c r="A8" s="2" t="s">
        <v>13</v>
      </c>
      <c r="B8" s="2" t="s">
        <v>10</v>
      </c>
      <c r="C8" s="9">
        <v>45775</v>
      </c>
      <c r="D8" s="2">
        <v>232</v>
      </c>
      <c r="E8" s="2">
        <v>311</v>
      </c>
      <c r="F8" s="2">
        <v>232</v>
      </c>
      <c r="G8" s="2">
        <v>311</v>
      </c>
      <c r="H8" s="4">
        <f t="shared" si="0"/>
        <v>1.34051724137931</v>
      </c>
      <c r="I8" s="4">
        <f t="shared" si="1"/>
        <v>1.34051724137931</v>
      </c>
      <c r="J8" s="7">
        <f ca="1">F8-IFERROR(VLOOKUP($A8,'0503'!$A$1:'0503'!G$48,6,FALSE),IFERROR(VLOOKUP($C8,'0503'!$C$1:'0503'!G$48,4,FALSE),F8-D8))</f>
        <v>6</v>
      </c>
      <c r="K8" s="8">
        <f ca="1">G8-IFERROR(VLOOKUP($A8,'0503'!$A$1:'0503'!H$44,7,FALSE),IFERROR(VLOOKUP($C8,'0503'!$C$1:'0503'!H$44,5,FALSE),G8-E8))</f>
        <v>0</v>
      </c>
      <c r="L8" s="4">
        <f ca="1" t="shared" si="2"/>
        <v>0</v>
      </c>
    </row>
    <row r="9" s="2" customFormat="1" spans="1:12">
      <c r="A9" s="2" t="s">
        <v>14</v>
      </c>
      <c r="B9" s="2" t="s">
        <v>10</v>
      </c>
      <c r="C9" s="9">
        <v>45775</v>
      </c>
      <c r="D9" s="2">
        <v>136</v>
      </c>
      <c r="E9" s="2">
        <v>304</v>
      </c>
      <c r="F9" s="2">
        <v>136</v>
      </c>
      <c r="G9" s="2">
        <v>304</v>
      </c>
      <c r="H9" s="4">
        <f t="shared" si="0"/>
        <v>2.23529411764706</v>
      </c>
      <c r="I9" s="4">
        <f t="shared" si="1"/>
        <v>2.23529411764706</v>
      </c>
      <c r="J9" s="7">
        <f ca="1">F9-IFERROR(VLOOKUP($A9,'0503'!$A$1:'0503'!G$48,6,FALSE),IFERROR(VLOOKUP($C9,'0503'!$C$1:'0503'!G$48,4,FALSE),F9-D9))</f>
        <v>0</v>
      </c>
      <c r="K9" s="8">
        <f ca="1">G9-IFERROR(VLOOKUP($A9,'0503'!$A$1:'0503'!H$44,7,FALSE),IFERROR(VLOOKUP($C9,'0503'!$C$1:'0503'!H$44,5,FALSE),G9-E9))</f>
        <v>0</v>
      </c>
      <c r="L9" s="4">
        <f ca="1" t="shared" si="2"/>
        <v>0</v>
      </c>
    </row>
    <row r="10" s="2" customFormat="1" spans="1:12">
      <c r="A10" s="2" t="s">
        <v>15</v>
      </c>
      <c r="B10" s="2" t="s">
        <v>10</v>
      </c>
      <c r="C10" s="9">
        <v>45774</v>
      </c>
      <c r="D10" s="2">
        <v>140</v>
      </c>
      <c r="E10" s="2">
        <v>216</v>
      </c>
      <c r="F10" s="2">
        <v>140</v>
      </c>
      <c r="G10" s="2">
        <v>216</v>
      </c>
      <c r="H10" s="4">
        <f t="shared" si="0"/>
        <v>1.54285714285714</v>
      </c>
      <c r="I10" s="4">
        <f t="shared" si="1"/>
        <v>1.54285714285714</v>
      </c>
      <c r="J10" s="7">
        <f ca="1">F10-IFERROR(VLOOKUP($A10,'0503'!$A$1:'0503'!G$48,6,FALSE),IFERROR(VLOOKUP($C10,'0503'!$C$1:'0503'!G$48,4,FALSE),F10-D10))</f>
        <v>0</v>
      </c>
      <c r="K10" s="8">
        <f ca="1">G10-IFERROR(VLOOKUP($A10,'0503'!$A$1:'0503'!H$44,7,FALSE),IFERROR(VLOOKUP($C10,'0503'!$C$1:'0503'!H$44,5,FALSE),G10-E10))</f>
        <v>0</v>
      </c>
      <c r="L10" s="4">
        <f ca="1" t="shared" si="2"/>
        <v>0</v>
      </c>
    </row>
    <row r="11" s="2" customFormat="1" spans="1:12">
      <c r="A11" s="2" t="s">
        <v>16</v>
      </c>
      <c r="B11" s="2" t="s">
        <v>10</v>
      </c>
      <c r="C11" s="9">
        <v>45774</v>
      </c>
      <c r="D11" s="2">
        <v>390</v>
      </c>
      <c r="E11" s="2">
        <v>367</v>
      </c>
      <c r="F11" s="2">
        <v>390</v>
      </c>
      <c r="G11" s="2">
        <v>367</v>
      </c>
      <c r="H11" s="4">
        <f t="shared" si="0"/>
        <v>0.941025641025641</v>
      </c>
      <c r="I11" s="4">
        <f t="shared" si="1"/>
        <v>0.941025641025641</v>
      </c>
      <c r="J11" s="7">
        <f ca="1">F11-IFERROR(VLOOKUP($A11,'0503'!$A$1:'0503'!G$48,6,FALSE),IFERROR(VLOOKUP($C11,'0503'!$C$1:'0503'!G$48,4,FALSE),F11-D11))</f>
        <v>2</v>
      </c>
      <c r="K11" s="8">
        <f ca="1">G11-IFERROR(VLOOKUP($A11,'0503'!$A$1:'0503'!H$44,7,FALSE),IFERROR(VLOOKUP($C11,'0503'!$C$1:'0503'!H$44,5,FALSE),G11-E11))</f>
        <v>0</v>
      </c>
      <c r="L11" s="4">
        <f ca="1" t="shared" si="2"/>
        <v>0</v>
      </c>
    </row>
    <row r="12" s="2" customFormat="1" spans="1:12">
      <c r="A12" s="2" t="s">
        <v>17</v>
      </c>
      <c r="B12" s="2" t="s">
        <v>10</v>
      </c>
      <c r="C12" s="9">
        <v>45773</v>
      </c>
      <c r="D12" s="2">
        <v>83</v>
      </c>
      <c r="E12" s="2">
        <v>37</v>
      </c>
      <c r="F12" s="2">
        <v>142</v>
      </c>
      <c r="G12" s="2">
        <v>190</v>
      </c>
      <c r="H12" s="4">
        <f t="shared" si="0"/>
        <v>0.44578313253012</v>
      </c>
      <c r="I12" s="4">
        <f t="shared" si="1"/>
        <v>1.33802816901408</v>
      </c>
      <c r="J12" s="7">
        <f ca="1">F12-IFERROR(VLOOKUP($A12,'0503'!$A$1:'0503'!G$48,6,FALSE),IFERROR(VLOOKUP($C12,'0503'!$C$1:'0503'!G$48,4,FALSE),F12-D12))</f>
        <v>4</v>
      </c>
      <c r="K12" s="8">
        <f ca="1">G12-IFERROR(VLOOKUP($A12,'0503'!$A$1:'0503'!H$44,7,FALSE),IFERROR(VLOOKUP($C12,'0503'!$C$1:'0503'!H$44,5,FALSE),G12-E12))</f>
        <v>0</v>
      </c>
      <c r="L12" s="4">
        <f ca="1" t="shared" si="2"/>
        <v>0</v>
      </c>
    </row>
    <row r="13" s="2" customFormat="1" spans="1:12">
      <c r="A13" s="2" t="s">
        <v>18</v>
      </c>
      <c r="B13" s="2" t="s">
        <v>10</v>
      </c>
      <c r="C13" s="9">
        <v>45773</v>
      </c>
      <c r="D13" s="2">
        <v>142</v>
      </c>
      <c r="E13" s="2">
        <v>69</v>
      </c>
      <c r="F13" s="2">
        <v>223</v>
      </c>
      <c r="G13" s="2">
        <v>247</v>
      </c>
      <c r="H13" s="4">
        <f t="shared" si="0"/>
        <v>0.485915492957746</v>
      </c>
      <c r="I13" s="4">
        <f t="shared" si="1"/>
        <v>1.10762331838565</v>
      </c>
      <c r="J13" s="7">
        <f ca="1">F13-IFERROR(VLOOKUP($A13,'0503'!$A$1:'0503'!G$48,6,FALSE),IFERROR(VLOOKUP($C13,'0503'!$C$1:'0503'!G$48,4,FALSE),F13-D13))</f>
        <v>0</v>
      </c>
      <c r="K13" s="8">
        <f ca="1">G13-IFERROR(VLOOKUP($A13,'0503'!$A$1:'0503'!H$44,7,FALSE),IFERROR(VLOOKUP($C13,'0503'!$C$1:'0503'!H$44,5,FALSE),G13-E13))</f>
        <v>0</v>
      </c>
      <c r="L13" s="4">
        <f ca="1" t="shared" si="2"/>
        <v>0</v>
      </c>
    </row>
    <row r="14" s="2" customFormat="1" spans="1:13">
      <c r="A14" s="2" t="s">
        <v>19</v>
      </c>
      <c r="B14" s="2" t="s">
        <v>10</v>
      </c>
      <c r="C14" s="9">
        <v>45772</v>
      </c>
      <c r="D14" s="2">
        <v>117</v>
      </c>
      <c r="E14" s="2">
        <v>293</v>
      </c>
      <c r="F14" s="2">
        <v>198</v>
      </c>
      <c r="G14" s="2">
        <v>612</v>
      </c>
      <c r="H14" s="4">
        <f t="shared" si="0"/>
        <v>2.5042735042735</v>
      </c>
      <c r="I14" s="4">
        <f t="shared" si="1"/>
        <v>3.09090909090909</v>
      </c>
      <c r="J14" s="7">
        <f ca="1">F14-IFERROR(VLOOKUP($A14,'0503'!$A$1:'0503'!G$48,6,FALSE),IFERROR(VLOOKUP($C14,'0503'!$C$1:'0503'!G$48,4,FALSE),F14-D14))</f>
        <v>1</v>
      </c>
      <c r="K14" s="8">
        <f ca="1">G14-IFERROR(VLOOKUP($A14,'0503'!$A$1:'0503'!H$44,7,FALSE),IFERROR(VLOOKUP($C14,'0503'!$C$1:'0503'!H$44,5,FALSE),G14-E14))</f>
        <v>0</v>
      </c>
      <c r="L14" s="4">
        <f ca="1" t="shared" si="2"/>
        <v>0</v>
      </c>
      <c r="M14" s="2" t="s">
        <v>20</v>
      </c>
    </row>
    <row r="15" s="2" customFormat="1" spans="1:12">
      <c r="A15" s="2" t="s">
        <v>21</v>
      </c>
      <c r="B15" s="2" t="s">
        <v>10</v>
      </c>
      <c r="C15" s="9">
        <v>45771</v>
      </c>
      <c r="D15" s="2">
        <v>67</v>
      </c>
      <c r="E15" s="2">
        <v>18</v>
      </c>
      <c r="F15" s="2">
        <v>189</v>
      </c>
      <c r="G15" s="2">
        <v>183</v>
      </c>
      <c r="H15" s="4">
        <f t="shared" si="0"/>
        <v>0.26865671641791</v>
      </c>
      <c r="I15" s="4">
        <f t="shared" si="1"/>
        <v>0.968253968253968</v>
      </c>
      <c r="J15" s="7">
        <f ca="1">F15-IFERROR(VLOOKUP($A15,'0503'!$A$1:'0503'!G$48,6,FALSE),IFERROR(VLOOKUP($C15,'0503'!$C$1:'0503'!G$48,4,FALSE),F15-D15))</f>
        <v>0</v>
      </c>
      <c r="K15" s="8">
        <f ca="1">G15-IFERROR(VLOOKUP($A15,'0503'!$A$1:'0503'!H$44,7,FALSE),IFERROR(VLOOKUP($C15,'0503'!$C$1:'0503'!H$44,5,FALSE),G15-E15))</f>
        <v>0</v>
      </c>
      <c r="L15" s="4">
        <f ca="1" t="shared" si="2"/>
        <v>0</v>
      </c>
    </row>
    <row r="16" s="2" customFormat="1" spans="1:12">
      <c r="A16" s="2" t="s">
        <v>22</v>
      </c>
      <c r="B16" s="2" t="s">
        <v>10</v>
      </c>
      <c r="C16" s="9">
        <v>45771</v>
      </c>
      <c r="D16" s="2">
        <v>64</v>
      </c>
      <c r="E16" s="2">
        <v>12</v>
      </c>
      <c r="F16" s="2">
        <v>172</v>
      </c>
      <c r="G16" s="2">
        <v>121</v>
      </c>
      <c r="H16" s="4">
        <f t="shared" si="0"/>
        <v>0.1875</v>
      </c>
      <c r="I16" s="4">
        <f t="shared" si="1"/>
        <v>0.703488372093023</v>
      </c>
      <c r="J16" s="7">
        <f ca="1">F16-IFERROR(VLOOKUP($A16,'0503'!$A$1:'0503'!G$48,6,FALSE),IFERROR(VLOOKUP($C16,'0503'!$C$1:'0503'!G$48,4,FALSE),F16-D16))</f>
        <v>5</v>
      </c>
      <c r="K16" s="8">
        <f ca="1">G16-IFERROR(VLOOKUP($A16,'0503'!$A$1:'0503'!H$44,7,FALSE),IFERROR(VLOOKUP($C16,'0503'!$C$1:'0503'!H$44,5,FALSE),G16-E16))</f>
        <v>0</v>
      </c>
      <c r="L16" s="4">
        <f ca="1" t="shared" si="2"/>
        <v>0</v>
      </c>
    </row>
    <row r="17" s="2" customFormat="1" spans="1:13">
      <c r="A17" s="2" t="s">
        <v>23</v>
      </c>
      <c r="B17" s="2" t="s">
        <v>10</v>
      </c>
      <c r="C17" s="9">
        <v>45770</v>
      </c>
      <c r="D17" s="2">
        <v>100</v>
      </c>
      <c r="E17" s="2">
        <v>240</v>
      </c>
      <c r="F17" s="2">
        <v>224</v>
      </c>
      <c r="G17" s="2">
        <v>685</v>
      </c>
      <c r="H17" s="4">
        <f t="shared" si="0"/>
        <v>2.4</v>
      </c>
      <c r="I17" s="4">
        <f t="shared" si="1"/>
        <v>3.05803571428571</v>
      </c>
      <c r="J17" s="7">
        <f ca="1">F17-IFERROR(VLOOKUP($A17,'0503'!$A$1:'0503'!G$48,6,FALSE),IFERROR(VLOOKUP($C17,'0503'!$C$1:'0503'!G$48,4,FALSE),F17-D17))</f>
        <v>6</v>
      </c>
      <c r="K17" s="8">
        <f ca="1">G17-IFERROR(VLOOKUP($A17,'0503'!$A$1:'0503'!H$44,7,FALSE),IFERROR(VLOOKUP($C17,'0503'!$C$1:'0503'!H$44,5,FALSE),G17-E17))</f>
        <v>0</v>
      </c>
      <c r="L17" s="4">
        <f ca="1" t="shared" si="2"/>
        <v>0</v>
      </c>
      <c r="M17" s="2" t="s">
        <v>24</v>
      </c>
    </row>
    <row r="18" s="2" customFormat="1" spans="1:12">
      <c r="A18" s="2" t="s">
        <v>26</v>
      </c>
      <c r="B18" s="2" t="s">
        <v>10</v>
      </c>
      <c r="C18" s="9">
        <v>45769</v>
      </c>
      <c r="D18" s="2">
        <v>13</v>
      </c>
      <c r="E18" s="2">
        <v>7</v>
      </c>
      <c r="F18" s="2">
        <v>145</v>
      </c>
      <c r="G18" s="2">
        <v>418</v>
      </c>
      <c r="H18" s="4">
        <f t="shared" si="0"/>
        <v>0.538461538461538</v>
      </c>
      <c r="I18" s="4">
        <f t="shared" si="1"/>
        <v>2.88275862068965</v>
      </c>
      <c r="J18" s="7">
        <f ca="1">F18-IFERROR(VLOOKUP($A18,'0503'!$A$1:'0503'!G$48,6,FALSE),IFERROR(VLOOKUP($C18,'0503'!$C$1:'0503'!G$48,4,FALSE),F18-D18))</f>
        <v>1</v>
      </c>
      <c r="K18" s="8">
        <f ca="1">G18-IFERROR(VLOOKUP($A18,'0503'!$A$1:'0503'!H$44,7,FALSE),IFERROR(VLOOKUP($C18,'0503'!$C$1:'0503'!H$44,5,FALSE),G18-E18))</f>
        <v>0</v>
      </c>
      <c r="L18" s="4">
        <f ca="1" t="shared" si="2"/>
        <v>0</v>
      </c>
    </row>
    <row r="19" s="2" customFormat="1" spans="1:12">
      <c r="A19" s="2" t="s">
        <v>28</v>
      </c>
      <c r="B19" s="2" t="s">
        <v>10</v>
      </c>
      <c r="C19" s="9">
        <v>45768</v>
      </c>
      <c r="D19" s="2">
        <v>10</v>
      </c>
      <c r="E19" s="2">
        <v>6</v>
      </c>
      <c r="F19" s="2">
        <v>216</v>
      </c>
      <c r="G19" s="2">
        <v>603</v>
      </c>
      <c r="H19" s="4">
        <f t="shared" si="0"/>
        <v>0.6</v>
      </c>
      <c r="I19" s="4">
        <f t="shared" si="1"/>
        <v>2.79166666666667</v>
      </c>
      <c r="J19" s="7">
        <f ca="1">F19-IFERROR(VLOOKUP($A19,'0503'!$A$1:'0503'!G$48,6,FALSE),IFERROR(VLOOKUP($C19,'0503'!$C$1:'0503'!G$48,4,FALSE),F19-D19))</f>
        <v>0</v>
      </c>
      <c r="K19" s="8">
        <f ca="1">G19-IFERROR(VLOOKUP($A19,'0503'!$A$1:'0503'!H$44,7,FALSE),IFERROR(VLOOKUP($C19,'0503'!$C$1:'0503'!H$44,5,FALSE),G19-E19))</f>
        <v>0</v>
      </c>
      <c r="L19" s="4">
        <f ca="1" t="shared" si="2"/>
        <v>0</v>
      </c>
    </row>
    <row r="20" s="2" customFormat="1" spans="1:12">
      <c r="A20" s="2" t="s">
        <v>34</v>
      </c>
      <c r="B20" s="2" t="s">
        <v>10</v>
      </c>
      <c r="C20" s="9">
        <v>45765</v>
      </c>
      <c r="D20" s="2">
        <v>6</v>
      </c>
      <c r="E20" s="2">
        <v>6</v>
      </c>
      <c r="F20" s="2">
        <v>401</v>
      </c>
      <c r="G20" s="2">
        <v>452</v>
      </c>
      <c r="H20" s="4">
        <f t="shared" si="0"/>
        <v>1</v>
      </c>
      <c r="I20" s="4">
        <f t="shared" si="1"/>
        <v>1.12718204488778</v>
      </c>
      <c r="J20" s="7">
        <f ca="1">F20-IFERROR(VLOOKUP($A20,'0503'!$A$1:'0503'!G$48,6,FALSE),IFERROR(VLOOKUP($C20,'0503'!$C$1:'0503'!G$48,4,FALSE),F20-D20))</f>
        <v>0</v>
      </c>
      <c r="K20" s="8">
        <f ca="1">G20-IFERROR(VLOOKUP($A20,'0503'!$A$1:'0503'!H$44,7,FALSE),IFERROR(VLOOKUP($C20,'0503'!$C$1:'0503'!H$44,5,FALSE),G20-E20))</f>
        <v>0</v>
      </c>
      <c r="L20" s="4">
        <f ca="1" t="shared" si="2"/>
        <v>0</v>
      </c>
    </row>
    <row r="21" s="2" customFormat="1" spans="1:12">
      <c r="A21" s="2" t="s">
        <v>37</v>
      </c>
      <c r="B21" s="2" t="s">
        <v>10</v>
      </c>
      <c r="C21" s="9">
        <v>45764</v>
      </c>
      <c r="D21" s="2">
        <v>15</v>
      </c>
      <c r="E21" s="2">
        <v>7</v>
      </c>
      <c r="F21" s="2">
        <v>164</v>
      </c>
      <c r="G21" s="2">
        <v>541</v>
      </c>
      <c r="H21" s="4">
        <f t="shared" si="0"/>
        <v>0.466666666666667</v>
      </c>
      <c r="I21" s="4">
        <f t="shared" si="1"/>
        <v>3.29878048780488</v>
      </c>
      <c r="J21" s="7">
        <f ca="1">F21-IFERROR(VLOOKUP($A21,'0503'!$A$1:'0503'!G$48,6,FALSE),IFERROR(VLOOKUP($C21,'0503'!$C$1:'0503'!G$48,4,FALSE),F21-D21))</f>
        <v>0</v>
      </c>
      <c r="K21" s="8">
        <f ca="1">G21-IFERROR(VLOOKUP($A21,'0503'!$A$1:'0503'!H$44,7,FALSE),IFERROR(VLOOKUP($C21,'0503'!$C$1:'0503'!H$44,5,FALSE),G21-E21))</f>
        <v>0</v>
      </c>
      <c r="L21" s="4">
        <f ca="1" t="shared" si="2"/>
        <v>0</v>
      </c>
    </row>
    <row r="22" s="2" customFormat="1" spans="1:12">
      <c r="A22" s="2" t="s">
        <v>38</v>
      </c>
      <c r="B22" s="2" t="s">
        <v>10</v>
      </c>
      <c r="C22" s="9">
        <v>45764</v>
      </c>
      <c r="D22" s="2">
        <v>57</v>
      </c>
      <c r="E22" s="2">
        <v>21</v>
      </c>
      <c r="F22" s="2">
        <v>364</v>
      </c>
      <c r="G22" s="2">
        <v>275</v>
      </c>
      <c r="H22" s="4">
        <f t="shared" si="0"/>
        <v>0.368421052631579</v>
      </c>
      <c r="I22" s="4">
        <f t="shared" si="1"/>
        <v>0.755494505494505</v>
      </c>
      <c r="J22" s="7">
        <f ca="1">F22-IFERROR(VLOOKUP($A22,'0503'!$A$1:'0503'!G$48,6,FALSE),IFERROR(VLOOKUP($C22,'0503'!$C$1:'0503'!G$48,4,FALSE),F22-D22))</f>
        <v>8</v>
      </c>
      <c r="K22" s="8">
        <f ca="1">G22-IFERROR(VLOOKUP($A22,'0503'!$A$1:'0503'!H$44,7,FALSE),IFERROR(VLOOKUP($C22,'0503'!$C$1:'0503'!H$44,5,FALSE),G22-E22))</f>
        <v>14</v>
      </c>
      <c r="L22" s="4">
        <f ca="1" t="shared" si="2"/>
        <v>1.75</v>
      </c>
    </row>
    <row r="23" s="2" customFormat="1" spans="1:13">
      <c r="A23" s="2" t="s">
        <v>40</v>
      </c>
      <c r="B23" s="2" t="s">
        <v>10</v>
      </c>
      <c r="C23" s="9">
        <v>45763</v>
      </c>
      <c r="D23" s="2">
        <v>2</v>
      </c>
      <c r="E23" s="2">
        <v>4</v>
      </c>
      <c r="F23" s="2">
        <v>130</v>
      </c>
      <c r="G23" s="2">
        <v>198</v>
      </c>
      <c r="H23" s="4">
        <f t="shared" si="0"/>
        <v>2</v>
      </c>
      <c r="I23" s="4">
        <f t="shared" si="1"/>
        <v>1.52307692307692</v>
      </c>
      <c r="J23" s="7">
        <f ca="1">F23-IFERROR(VLOOKUP($A23,'0503'!$A$1:'0503'!G$48,6,FALSE),IFERROR(VLOOKUP($C23,'0503'!$C$1:'0503'!G$48,4,FALSE),F23-D23))</f>
        <v>0</v>
      </c>
      <c r="K23" s="8">
        <f ca="1">G23-IFERROR(VLOOKUP($A23,'0503'!$A$1:'0503'!H$44,7,FALSE),IFERROR(VLOOKUP($C23,'0503'!$C$1:'0503'!H$44,5,FALSE),G23-E23))</f>
        <v>0</v>
      </c>
      <c r="L23" s="4">
        <f ca="1" t="shared" si="2"/>
        <v>0</v>
      </c>
      <c r="M23" s="2" t="s">
        <v>41</v>
      </c>
    </row>
    <row r="24" s="2" customFormat="1" spans="1:13">
      <c r="A24" s="2" t="s">
        <v>42</v>
      </c>
      <c r="B24" s="2" t="s">
        <v>10</v>
      </c>
      <c r="C24" s="9">
        <v>45762</v>
      </c>
      <c r="D24" s="2">
        <v>9</v>
      </c>
      <c r="E24" s="2">
        <v>6</v>
      </c>
      <c r="F24" s="2">
        <v>600</v>
      </c>
      <c r="G24" s="2">
        <v>641</v>
      </c>
      <c r="H24" s="4">
        <f t="shared" si="0"/>
        <v>0.666666666666667</v>
      </c>
      <c r="I24" s="4">
        <f t="shared" si="1"/>
        <v>1.06833333333333</v>
      </c>
      <c r="J24" s="7">
        <f ca="1">F24-IFERROR(VLOOKUP($A24,'0503'!$A$1:'0503'!G$48,6,FALSE),IFERROR(VLOOKUP($C24,'0503'!$C$1:'0503'!G$48,4,FALSE),F24-D24))</f>
        <v>2</v>
      </c>
      <c r="K24" s="8">
        <f ca="1">G24-IFERROR(VLOOKUP($A24,'0503'!$A$1:'0503'!H$44,7,FALSE),IFERROR(VLOOKUP($C24,'0503'!$C$1:'0503'!H$44,5,FALSE),G24-E24))</f>
        <v>0</v>
      </c>
      <c r="L24" s="4">
        <f ca="1" t="shared" si="2"/>
        <v>0</v>
      </c>
      <c r="M24" s="2" t="s">
        <v>43</v>
      </c>
    </row>
    <row r="25" s="2" customFormat="1" spans="1:13">
      <c r="A25" s="2" t="s">
        <v>44</v>
      </c>
      <c r="B25" s="2" t="s">
        <v>10</v>
      </c>
      <c r="C25" s="9">
        <v>45761</v>
      </c>
      <c r="D25" s="2">
        <v>27</v>
      </c>
      <c r="E25" s="2">
        <v>12</v>
      </c>
      <c r="F25" s="2">
        <v>1056</v>
      </c>
      <c r="G25" s="2">
        <v>919</v>
      </c>
      <c r="H25" s="4">
        <f t="shared" si="0"/>
        <v>0.444444444444444</v>
      </c>
      <c r="I25" s="4">
        <f t="shared" si="1"/>
        <v>0.870265151515151</v>
      </c>
      <c r="J25" s="7">
        <f ca="1">F25-IFERROR(VLOOKUP($A25,'0503'!$A$1:'0503'!G$48,6,FALSE),IFERROR(VLOOKUP($C25,'0503'!$C$1:'0503'!G$48,4,FALSE),F25-D25))</f>
        <v>0</v>
      </c>
      <c r="K25" s="8">
        <f ca="1">G25-IFERROR(VLOOKUP($A25,'0503'!$A$1:'0503'!H$44,7,FALSE),IFERROR(VLOOKUP($C25,'0503'!$C$1:'0503'!H$44,5,FALSE),G25-E25))</f>
        <v>0</v>
      </c>
      <c r="L25" s="4">
        <f ca="1" t="shared" si="2"/>
        <v>0</v>
      </c>
      <c r="M25" s="2" t="s">
        <v>45</v>
      </c>
    </row>
    <row r="26" s="2" customFormat="1" spans="1:13">
      <c r="A26" s="2" t="s">
        <v>46</v>
      </c>
      <c r="B26" s="2" t="s">
        <v>10</v>
      </c>
      <c r="C26" s="9">
        <v>45757</v>
      </c>
      <c r="D26" s="2">
        <v>10</v>
      </c>
      <c r="E26" s="2">
        <v>6</v>
      </c>
      <c r="F26" s="2">
        <v>626</v>
      </c>
      <c r="G26" s="2">
        <v>763</v>
      </c>
      <c r="H26" s="4">
        <f t="shared" si="0"/>
        <v>0.6</v>
      </c>
      <c r="I26" s="4">
        <f t="shared" si="1"/>
        <v>1.21884984025559</v>
      </c>
      <c r="J26" s="7">
        <f ca="1">F26-IFERROR(VLOOKUP($A26,'0503'!$A$1:'0503'!G$48,6,FALSE),IFERROR(VLOOKUP($C26,'0503'!$C$1:'0503'!G$48,4,FALSE),F26-D26))</f>
        <v>0</v>
      </c>
      <c r="K26" s="8">
        <f ca="1">G26-IFERROR(VLOOKUP($A26,'0503'!$A$1:'0503'!H$44,7,FALSE),IFERROR(VLOOKUP($C26,'0503'!$C$1:'0503'!H$44,5,FALSE),G26-E26))</f>
        <v>0</v>
      </c>
      <c r="L26" s="4">
        <f ca="1" t="shared" si="2"/>
        <v>0</v>
      </c>
      <c r="M26" s="2" t="s">
        <v>47</v>
      </c>
    </row>
    <row r="27" s="2" customFormat="1" spans="1:13">
      <c r="A27" s="2" t="s">
        <v>70</v>
      </c>
      <c r="B27" s="2" t="s">
        <v>10</v>
      </c>
      <c r="C27" s="9">
        <v>45751</v>
      </c>
      <c r="D27" s="2">
        <v>15</v>
      </c>
      <c r="E27" s="2">
        <v>8</v>
      </c>
      <c r="F27" s="2">
        <v>161</v>
      </c>
      <c r="G27" s="2">
        <v>266</v>
      </c>
      <c r="H27" s="4">
        <f t="shared" si="0"/>
        <v>0.533333333333333</v>
      </c>
      <c r="I27" s="4">
        <f t="shared" si="1"/>
        <v>1.65217391304348</v>
      </c>
      <c r="J27" s="7">
        <f ca="1">F27-IFERROR(VLOOKUP($A27,'0503'!$A$1:'0503'!G$48,6,FALSE),IFERROR(VLOOKUP($C27,'0503'!$C$1:'0503'!G$48,4,FALSE),F27-D27))</f>
        <v>15</v>
      </c>
      <c r="K27" s="8">
        <f ca="1">G27-IFERROR(VLOOKUP($A27,'0503'!$A$1:'0503'!H$44,7,FALSE),IFERROR(VLOOKUP($C27,'0503'!$C$1:'0503'!H$44,5,FALSE),G27-E27))</f>
        <v>8</v>
      </c>
      <c r="L27" s="4">
        <f ca="1" t="shared" si="2"/>
        <v>0.533333333333333</v>
      </c>
      <c r="M27" s="2" t="s">
        <v>71</v>
      </c>
    </row>
    <row r="28" s="2" customFormat="1" spans="1:13">
      <c r="A28" s="2" t="s">
        <v>48</v>
      </c>
      <c r="B28" s="2" t="s">
        <v>10</v>
      </c>
      <c r="C28" s="9">
        <v>45750</v>
      </c>
      <c r="D28" s="2">
        <v>3</v>
      </c>
      <c r="E28" s="2">
        <v>12</v>
      </c>
      <c r="F28" s="2">
        <v>225</v>
      </c>
      <c r="G28" s="2">
        <v>542</v>
      </c>
      <c r="H28" s="4">
        <f t="shared" si="0"/>
        <v>4</v>
      </c>
      <c r="I28" s="4">
        <f t="shared" si="1"/>
        <v>2.40888888888889</v>
      </c>
      <c r="J28" s="7">
        <f ca="1">F28-IFERROR(VLOOKUP($A28,'0503'!$A$1:'0503'!G$48,6,FALSE),IFERROR(VLOOKUP($C28,'0503'!$C$1:'0503'!G$48,4,FALSE),F28-D28))</f>
        <v>0</v>
      </c>
      <c r="K28" s="8">
        <f ca="1">G28-IFERROR(VLOOKUP($A28,'0503'!$A$1:'0503'!H$44,7,FALSE),IFERROR(VLOOKUP($C28,'0503'!$C$1:'0503'!H$44,5,FALSE),G28-E28))</f>
        <v>0</v>
      </c>
      <c r="L28" s="4">
        <f ca="1" t="shared" si="2"/>
        <v>0</v>
      </c>
      <c r="M28" s="2" t="s">
        <v>49</v>
      </c>
    </row>
    <row r="29" s="2" customFormat="1" spans="1:13">
      <c r="A29" s="2" t="s">
        <v>50</v>
      </c>
      <c r="B29" s="2" t="s">
        <v>10</v>
      </c>
      <c r="C29" s="9">
        <v>45748</v>
      </c>
      <c r="D29" s="2">
        <v>45</v>
      </c>
      <c r="E29" s="2">
        <v>13</v>
      </c>
      <c r="F29" s="2">
        <v>224472</v>
      </c>
      <c r="G29" s="2">
        <v>10593</v>
      </c>
      <c r="H29" s="4">
        <f t="shared" si="0"/>
        <v>0.288888888888889</v>
      </c>
      <c r="I29" s="4">
        <f t="shared" si="1"/>
        <v>0.0471907409387362</v>
      </c>
      <c r="J29" s="7">
        <f ca="1">F29-IFERROR(VLOOKUP($A29,'0503'!$A$1:'0503'!G$48,6,FALSE),IFERROR(VLOOKUP($C29,'0503'!$C$1:'0503'!G$48,4,FALSE),F29-D29))</f>
        <v>2</v>
      </c>
      <c r="K29" s="8">
        <f ca="1">G29-IFERROR(VLOOKUP($A29,'0503'!$A$1:'0503'!H$44,7,FALSE),IFERROR(VLOOKUP($C29,'0503'!$C$1:'0503'!H$44,5,FALSE),G29-E29))</f>
        <v>0</v>
      </c>
      <c r="L29" s="4">
        <f ca="1" t="shared" si="2"/>
        <v>0</v>
      </c>
      <c r="M29" s="2" t="s">
        <v>51</v>
      </c>
    </row>
    <row r="30" s="2" customFormat="1" spans="1:13">
      <c r="A30" s="2" t="s">
        <v>52</v>
      </c>
      <c r="B30" s="2" t="s">
        <v>10</v>
      </c>
      <c r="C30" s="9">
        <v>45743</v>
      </c>
      <c r="D30" s="2">
        <v>64</v>
      </c>
      <c r="E30" s="2">
        <v>15</v>
      </c>
      <c r="F30" s="2">
        <v>4897</v>
      </c>
      <c r="G30" s="2">
        <v>1991</v>
      </c>
      <c r="H30" s="4">
        <f t="shared" si="0"/>
        <v>0.234375</v>
      </c>
      <c r="I30" s="4">
        <f t="shared" si="1"/>
        <v>0.406575454359812</v>
      </c>
      <c r="J30" s="7">
        <f ca="1">F30-IFERROR(VLOOKUP($A30,'0503'!$A$1:'0503'!G$48,6,FALSE),IFERROR(VLOOKUP($C30,'0503'!$C$1:'0503'!G$48,4,FALSE),F30-D30))</f>
        <v>4</v>
      </c>
      <c r="K30" s="8">
        <f ca="1">G30-IFERROR(VLOOKUP($A30,'0503'!$A$1:'0503'!H$44,7,FALSE),IFERROR(VLOOKUP($C30,'0503'!$C$1:'0503'!H$44,5,FALSE),G30-E30))</f>
        <v>0</v>
      </c>
      <c r="L30" s="4">
        <f ca="1" t="shared" si="2"/>
        <v>0</v>
      </c>
      <c r="M30" s="2" t="s">
        <v>53</v>
      </c>
    </row>
    <row r="31" s="2" customFormat="1" spans="1:13">
      <c r="A31" s="2" t="s">
        <v>54</v>
      </c>
      <c r="B31" s="2" t="s">
        <v>10</v>
      </c>
      <c r="C31" s="9">
        <v>45741</v>
      </c>
      <c r="D31" s="2">
        <v>111</v>
      </c>
      <c r="E31" s="2">
        <v>10</v>
      </c>
      <c r="F31" s="2">
        <v>1224</v>
      </c>
      <c r="G31" s="2">
        <v>687</v>
      </c>
      <c r="H31" s="4">
        <f t="shared" si="0"/>
        <v>0.0900900900900901</v>
      </c>
      <c r="I31" s="4">
        <f t="shared" si="1"/>
        <v>0.561274509803922</v>
      </c>
      <c r="J31" s="7">
        <f ca="1">F31-IFERROR(VLOOKUP($A31,'0503'!$A$1:'0503'!G$48,6,FALSE),IFERROR(VLOOKUP($C31,'0503'!$C$1:'0503'!G$48,4,FALSE),F31-D31))</f>
        <v>11</v>
      </c>
      <c r="K31" s="8">
        <f ca="1">G31-IFERROR(VLOOKUP($A31,'0503'!$A$1:'0503'!H$44,7,FALSE),IFERROR(VLOOKUP($C31,'0503'!$C$1:'0503'!H$44,5,FALSE),G31-E31))</f>
        <v>0</v>
      </c>
      <c r="L31" s="4">
        <f ca="1" t="shared" si="2"/>
        <v>0</v>
      </c>
      <c r="M31" s="13" t="s">
        <v>55</v>
      </c>
    </row>
    <row r="32" s="2" customFormat="1" spans="1:13">
      <c r="A32" s="2" t="s">
        <v>58</v>
      </c>
      <c r="B32" s="2" t="s">
        <v>10</v>
      </c>
      <c r="C32" s="9">
        <v>45719</v>
      </c>
      <c r="D32" s="2">
        <v>8</v>
      </c>
      <c r="E32" s="2">
        <v>10</v>
      </c>
      <c r="F32" s="2">
        <v>379</v>
      </c>
      <c r="G32" s="2">
        <v>657</v>
      </c>
      <c r="H32" s="4">
        <f t="shared" si="0"/>
        <v>1.25</v>
      </c>
      <c r="I32" s="4">
        <f t="shared" si="1"/>
        <v>1.7335092348285</v>
      </c>
      <c r="J32" s="7">
        <f ca="1">F32-IFERROR(VLOOKUP($A32,'0503'!$A$1:'0503'!G$48,6,FALSE),IFERROR(VLOOKUP($C32,'0503'!$C$1:'0503'!G$48,4,FALSE),F32-D32))</f>
        <v>0</v>
      </c>
      <c r="K32" s="8">
        <f ca="1">G32-IFERROR(VLOOKUP($A32,'0503'!$A$1:'0503'!H$44,7,FALSE),IFERROR(VLOOKUP($C32,'0503'!$C$1:'0503'!H$44,5,FALSE),G32-E32))</f>
        <v>0</v>
      </c>
      <c r="L32" s="4">
        <f ca="1" t="shared" si="2"/>
        <v>0</v>
      </c>
      <c r="M32" s="2" t="s">
        <v>59</v>
      </c>
    </row>
    <row r="33" s="2" customFormat="1" spans="1:13">
      <c r="A33" s="2" t="s">
        <v>60</v>
      </c>
      <c r="B33" s="2" t="s">
        <v>10</v>
      </c>
      <c r="C33" s="9">
        <v>45713</v>
      </c>
      <c r="D33" s="2">
        <v>6</v>
      </c>
      <c r="E33" s="2">
        <v>31</v>
      </c>
      <c r="F33" s="2">
        <v>226</v>
      </c>
      <c r="G33" s="2">
        <v>589</v>
      </c>
      <c r="H33" s="4">
        <f t="shared" si="0"/>
        <v>5.16666666666667</v>
      </c>
      <c r="I33" s="4">
        <f t="shared" si="1"/>
        <v>2.60619469026549</v>
      </c>
      <c r="J33" s="7">
        <f ca="1">F33-IFERROR(VLOOKUP($A33,'0503'!$A$1:'0503'!G$48,6,FALSE),IFERROR(VLOOKUP($C33,'0503'!$C$1:'0503'!G$48,4,FALSE),F33-D33))</f>
        <v>1</v>
      </c>
      <c r="K33" s="8">
        <f ca="1">G33-IFERROR(VLOOKUP($A33,'0503'!$A$1:'0503'!H$44,7,FALSE),IFERROR(VLOOKUP($C33,'0503'!$C$1:'0503'!H$44,5,FALSE),G33-E33))</f>
        <v>0</v>
      </c>
      <c r="L33" s="4">
        <f ca="1" t="shared" si="2"/>
        <v>0</v>
      </c>
      <c r="M33" s="2" t="s">
        <v>61</v>
      </c>
    </row>
    <row r="34" s="2" customFormat="1" spans="1:13">
      <c r="A34" s="2" t="s">
        <v>62</v>
      </c>
      <c r="B34" s="2" t="s">
        <v>10</v>
      </c>
      <c r="C34" s="9">
        <v>45691</v>
      </c>
      <c r="D34" s="2">
        <v>28</v>
      </c>
      <c r="E34" s="2">
        <v>5</v>
      </c>
      <c r="F34" s="2">
        <v>321</v>
      </c>
      <c r="G34" s="2">
        <v>36</v>
      </c>
      <c r="H34" s="4">
        <f t="shared" si="0"/>
        <v>0.178571428571429</v>
      </c>
      <c r="I34" s="4">
        <f t="shared" si="1"/>
        <v>0.11214953271028</v>
      </c>
      <c r="J34" s="7">
        <f ca="1">F34-IFERROR(VLOOKUP($A34,'0503'!$A$1:'0503'!G$48,6,FALSE),IFERROR(VLOOKUP($C34,'0503'!$C$1:'0503'!G$48,4,FALSE),F34-D34))</f>
        <v>0</v>
      </c>
      <c r="K34" s="8">
        <f ca="1">G34-IFERROR(VLOOKUP($A34,'0503'!$A$1:'0503'!H$44,7,FALSE),IFERROR(VLOOKUP($C34,'0503'!$C$1:'0503'!H$44,5,FALSE),G34-E34))</f>
        <v>0</v>
      </c>
      <c r="L34" s="4">
        <f ca="1" t="shared" si="2"/>
        <v>0</v>
      </c>
      <c r="M34" s="2" t="s">
        <v>63</v>
      </c>
    </row>
    <row r="35" spans="11:11">
      <c r="K35" s="2">
        <f ca="1">SUM(K2:K34)</f>
        <v>339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topLeftCell="A13" workbookViewId="0">
      <selection activeCell="A18" sqref="$A18:$XFD18"/>
    </sheetView>
  </sheetViews>
  <sheetFormatPr defaultColWidth="10" defaultRowHeight="14.4"/>
  <cols>
    <col min="1" max="1" width="48.1111111111111" style="2" customWidth="1"/>
    <col min="2" max="2" width="10" style="2" hidden="1" customWidth="1"/>
    <col min="3" max="3" width="10" style="2"/>
    <col min="4" max="7" width="5.77777777777778" style="2" customWidth="1"/>
    <col min="8" max="9" width="6.77777777777778" style="2" customWidth="1"/>
    <col min="10" max="10" width="7.66666666666667" style="2" customWidth="1"/>
    <col min="11" max="12" width="6.77777777777778" style="2" customWidth="1"/>
    <col min="13" max="13" width="18.6666666666667" style="2" customWidth="1"/>
    <col min="14" max="16384" width="10" style="2"/>
  </cols>
  <sheetData>
    <row r="1" s="2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J1" s="5" t="s">
        <v>7</v>
      </c>
      <c r="K1" s="5" t="s">
        <v>8</v>
      </c>
    </row>
    <row r="2" s="2" customFormat="1" spans="1:12">
      <c r="A2" s="2" t="s">
        <v>72</v>
      </c>
      <c r="B2" s="2" t="s">
        <v>10</v>
      </c>
      <c r="C2" s="9">
        <v>45781</v>
      </c>
      <c r="D2" s="2">
        <v>73</v>
      </c>
      <c r="E2" s="2">
        <v>210</v>
      </c>
      <c r="F2" s="2">
        <v>73</v>
      </c>
      <c r="G2" s="2">
        <v>210</v>
      </c>
      <c r="H2" s="4">
        <f>E2/D2</f>
        <v>2.87671232876712</v>
      </c>
      <c r="I2" s="4">
        <f>G2/F2</f>
        <v>2.87671232876712</v>
      </c>
      <c r="J2" s="7">
        <f ca="1">F2-IFERROR(VLOOKUP($A2,'0504'!$A$1:'0504'!G$48,6,FALSE),IFERROR(VLOOKUP($C2,'0504'!$C$1:'0504'!G$48,4,FALSE),F2-D2))</f>
        <v>73</v>
      </c>
      <c r="K2" s="8">
        <f ca="1">G2-IFERROR(VLOOKUP($A2,'0504'!$A$1:'0504'!H$44,7,FALSE),IFERROR(VLOOKUP($C2,'0504'!$C$1:'0504'!H$44,5,FALSE),G2-E2))</f>
        <v>210</v>
      </c>
      <c r="L2" s="4">
        <f ca="1">IFERROR(K2/J2,)</f>
        <v>2.87671232876712</v>
      </c>
    </row>
    <row r="3" s="2" customFormat="1" spans="1:12">
      <c r="A3" s="2" t="s">
        <v>69</v>
      </c>
      <c r="B3" s="2" t="s">
        <v>10</v>
      </c>
      <c r="C3" s="9">
        <v>45780</v>
      </c>
      <c r="D3" s="2">
        <v>701</v>
      </c>
      <c r="E3" s="2">
        <v>404</v>
      </c>
      <c r="F3" s="2">
        <v>701</v>
      </c>
      <c r="G3" s="2">
        <v>404</v>
      </c>
      <c r="H3" s="4">
        <f t="shared" ref="H3:H35" si="0">E3/D3</f>
        <v>0.576319543509273</v>
      </c>
      <c r="I3" s="4">
        <f t="shared" ref="I3:I35" si="1">G3/F3</f>
        <v>0.576319543509273</v>
      </c>
      <c r="J3" s="7">
        <f ca="1">F3-IFERROR(VLOOKUP($A3,'0504'!$A$1:'0504'!G$48,6,FALSE),IFERROR(VLOOKUP($C3,'0504'!$C$1:'0504'!G$48,4,FALSE),F3-D3))</f>
        <v>193</v>
      </c>
      <c r="K3" s="8">
        <f ca="1">G3-IFERROR(VLOOKUP($A3,'0504'!$A$1:'0504'!H$44,7,FALSE),IFERROR(VLOOKUP($C3,'0504'!$C$1:'0504'!H$44,5,FALSE),G3-E3))</f>
        <v>155</v>
      </c>
      <c r="L3" s="4">
        <f ca="1" t="shared" ref="L3:L35" si="2">IFERROR(K3/J3,)</f>
        <v>0.803108808290155</v>
      </c>
    </row>
    <row r="4" s="2" customFormat="1" spans="1:12">
      <c r="A4" s="2" t="s">
        <v>68</v>
      </c>
      <c r="B4" s="2" t="s">
        <v>10</v>
      </c>
      <c r="C4" s="9">
        <v>45779</v>
      </c>
      <c r="D4" s="2">
        <v>133</v>
      </c>
      <c r="E4" s="2">
        <v>139</v>
      </c>
      <c r="F4" s="2">
        <v>133</v>
      </c>
      <c r="G4" s="2">
        <v>139</v>
      </c>
      <c r="H4" s="4">
        <f t="shared" si="0"/>
        <v>1.04511278195489</v>
      </c>
      <c r="I4" s="4">
        <f t="shared" si="1"/>
        <v>1.04511278195489</v>
      </c>
      <c r="J4" s="7">
        <f ca="1">F4-IFERROR(VLOOKUP($A4,'0504'!$A$1:'0504'!G$48,6,FALSE),IFERROR(VLOOKUP($C4,'0504'!$C$1:'0504'!G$48,4,FALSE),F4-D4))</f>
        <v>16</v>
      </c>
      <c r="K4" s="8">
        <f ca="1">G4-IFERROR(VLOOKUP($A4,'0504'!$A$1:'0504'!H$44,7,FALSE),IFERROR(VLOOKUP($C4,'0504'!$C$1:'0504'!H$44,5,FALSE),G4-E4))</f>
        <v>25</v>
      </c>
      <c r="L4" s="4">
        <f ca="1" t="shared" si="2"/>
        <v>1.5625</v>
      </c>
    </row>
    <row r="5" s="2" customFormat="1" spans="1:12">
      <c r="A5" s="2" t="s">
        <v>66</v>
      </c>
      <c r="B5" s="2" t="s">
        <v>10</v>
      </c>
      <c r="C5" s="9">
        <v>45778</v>
      </c>
      <c r="D5" s="2">
        <v>342</v>
      </c>
      <c r="E5" s="2">
        <v>154</v>
      </c>
      <c r="F5" s="2">
        <v>342</v>
      </c>
      <c r="G5" s="2">
        <v>154</v>
      </c>
      <c r="H5" s="4">
        <f t="shared" si="0"/>
        <v>0.450292397660819</v>
      </c>
      <c r="I5" s="4">
        <f t="shared" si="1"/>
        <v>0.450292397660819</v>
      </c>
      <c r="J5" s="7">
        <f ca="1">F5-IFERROR(VLOOKUP($A5,'0504'!$A$1:'0504'!G$48,6,FALSE),IFERROR(VLOOKUP($C5,'0504'!$C$1:'0504'!G$48,4,FALSE),F5-D5))</f>
        <v>6</v>
      </c>
      <c r="K5" s="8">
        <f ca="1">G5-IFERROR(VLOOKUP($A5,'0504'!$A$1:'0504'!H$44,7,FALSE),IFERROR(VLOOKUP($C5,'0504'!$C$1:'0504'!H$44,5,FALSE),G5-E5))</f>
        <v>14</v>
      </c>
      <c r="L5" s="4">
        <f ca="1" t="shared" si="2"/>
        <v>2.33333333333333</v>
      </c>
    </row>
    <row r="6" s="2" customFormat="1" spans="1:12">
      <c r="A6" s="2" t="s">
        <v>9</v>
      </c>
      <c r="B6" s="2" t="s">
        <v>10</v>
      </c>
      <c r="C6" s="9">
        <v>45777</v>
      </c>
      <c r="D6" s="2">
        <v>209</v>
      </c>
      <c r="E6" s="2">
        <v>283</v>
      </c>
      <c r="F6" s="2">
        <v>209</v>
      </c>
      <c r="G6" s="2">
        <v>283</v>
      </c>
      <c r="H6" s="4">
        <f t="shared" si="0"/>
        <v>1.35406698564593</v>
      </c>
      <c r="I6" s="4">
        <f t="shared" si="1"/>
        <v>1.35406698564593</v>
      </c>
      <c r="J6" s="7">
        <f ca="1">F6-IFERROR(VLOOKUP($A6,'0504'!$A$1:'0504'!G$48,6,FALSE),IFERROR(VLOOKUP($C6,'0504'!$C$1:'0504'!G$48,4,FALSE),F6-D6))</f>
        <v>20</v>
      </c>
      <c r="K6" s="8">
        <f ca="1">G6-IFERROR(VLOOKUP($A6,'0504'!$A$1:'0504'!H$44,7,FALSE),IFERROR(VLOOKUP($C6,'0504'!$C$1:'0504'!H$44,5,FALSE),G6-E6))</f>
        <v>0</v>
      </c>
      <c r="L6" s="4">
        <f ca="1" t="shared" si="2"/>
        <v>0</v>
      </c>
    </row>
    <row r="7" s="2" customFormat="1" spans="1:13">
      <c r="A7" s="2" t="s">
        <v>11</v>
      </c>
      <c r="B7" s="2" t="s">
        <v>10</v>
      </c>
      <c r="C7" s="9">
        <v>45777</v>
      </c>
      <c r="D7" s="2">
        <v>98</v>
      </c>
      <c r="E7" s="2">
        <v>318</v>
      </c>
      <c r="F7" s="2">
        <v>98</v>
      </c>
      <c r="G7" s="2">
        <v>318</v>
      </c>
      <c r="H7" s="4">
        <f t="shared" si="0"/>
        <v>3.24489795918367</v>
      </c>
      <c r="I7" s="4">
        <f t="shared" si="1"/>
        <v>3.24489795918367</v>
      </c>
      <c r="J7" s="7">
        <f ca="1">F7-IFERROR(VLOOKUP($A7,'0504'!$A$1:'0504'!G$48,6,FALSE),IFERROR(VLOOKUP($C7,'0504'!$C$1:'0504'!G$48,4,FALSE),F7-D7))</f>
        <v>6</v>
      </c>
      <c r="K7" s="8">
        <f ca="1">G7-IFERROR(VLOOKUP($A7,'0504'!$A$1:'0504'!H$44,7,FALSE),IFERROR(VLOOKUP($C7,'0504'!$C$1:'0504'!H$44,5,FALSE),G7-E7))</f>
        <v>58</v>
      </c>
      <c r="L7" s="4">
        <f ca="1" t="shared" si="2"/>
        <v>9.66666666666667</v>
      </c>
      <c r="M7" s="2" t="s">
        <v>67</v>
      </c>
    </row>
    <row r="8" s="2" customFormat="1" spans="1:12">
      <c r="A8" s="2" t="s">
        <v>12</v>
      </c>
      <c r="B8" s="2" t="s">
        <v>10</v>
      </c>
      <c r="C8" s="9">
        <v>45776</v>
      </c>
      <c r="D8" s="2">
        <v>606</v>
      </c>
      <c r="E8" s="2">
        <v>393</v>
      </c>
      <c r="F8" s="2">
        <v>606</v>
      </c>
      <c r="G8" s="2">
        <v>393</v>
      </c>
      <c r="H8" s="4">
        <f t="shared" si="0"/>
        <v>0.648514851485149</v>
      </c>
      <c r="I8" s="4">
        <f t="shared" si="1"/>
        <v>0.648514851485149</v>
      </c>
      <c r="J8" s="7">
        <f ca="1">F8-IFERROR(VLOOKUP($A8,'0504'!$A$1:'0504'!G$48,6,FALSE),IFERROR(VLOOKUP($C8,'0504'!$C$1:'0504'!G$48,4,FALSE),F8-D8))</f>
        <v>43</v>
      </c>
      <c r="K8" s="8">
        <f ca="1">G8-IFERROR(VLOOKUP($A8,'0504'!$A$1:'0504'!H$44,7,FALSE),IFERROR(VLOOKUP($C8,'0504'!$C$1:'0504'!H$44,5,FALSE),G8-E8))</f>
        <v>0</v>
      </c>
      <c r="L8" s="4">
        <f ca="1" t="shared" si="2"/>
        <v>0</v>
      </c>
    </row>
    <row r="9" s="2" customFormat="1" spans="1:12">
      <c r="A9" s="2" t="s">
        <v>13</v>
      </c>
      <c r="B9" s="2" t="s">
        <v>10</v>
      </c>
      <c r="C9" s="9">
        <v>45775</v>
      </c>
      <c r="D9" s="2">
        <v>239</v>
      </c>
      <c r="E9" s="2">
        <v>311</v>
      </c>
      <c r="F9" s="2">
        <v>239</v>
      </c>
      <c r="G9" s="2">
        <v>311</v>
      </c>
      <c r="H9" s="4">
        <f t="shared" si="0"/>
        <v>1.30125523012552</v>
      </c>
      <c r="I9" s="4">
        <f t="shared" si="1"/>
        <v>1.30125523012552</v>
      </c>
      <c r="J9" s="7">
        <f ca="1">F9-IFERROR(VLOOKUP($A9,'0504'!$A$1:'0504'!G$48,6,FALSE),IFERROR(VLOOKUP($C9,'0504'!$C$1:'0504'!G$48,4,FALSE),F9-D9))</f>
        <v>7</v>
      </c>
      <c r="K9" s="8">
        <f ca="1">G9-IFERROR(VLOOKUP($A9,'0504'!$A$1:'0504'!H$44,7,FALSE),IFERROR(VLOOKUP($C9,'0504'!$C$1:'0504'!H$44,5,FALSE),G9-E9))</f>
        <v>0</v>
      </c>
      <c r="L9" s="4">
        <f ca="1" t="shared" si="2"/>
        <v>0</v>
      </c>
    </row>
    <row r="10" s="2" customFormat="1" spans="1:12">
      <c r="A10" s="2" t="s">
        <v>14</v>
      </c>
      <c r="B10" s="2" t="s">
        <v>10</v>
      </c>
      <c r="C10" s="9">
        <v>45775</v>
      </c>
      <c r="D10" s="2">
        <v>136</v>
      </c>
      <c r="E10" s="2">
        <v>304</v>
      </c>
      <c r="F10" s="2">
        <v>136</v>
      </c>
      <c r="G10" s="2">
        <v>304</v>
      </c>
      <c r="H10" s="4">
        <f t="shared" si="0"/>
        <v>2.23529411764706</v>
      </c>
      <c r="I10" s="4">
        <f t="shared" si="1"/>
        <v>2.23529411764706</v>
      </c>
      <c r="J10" s="7">
        <f ca="1">F10-IFERROR(VLOOKUP($A10,'0504'!$A$1:'0504'!G$48,6,FALSE),IFERROR(VLOOKUP($C10,'0504'!$C$1:'0504'!G$48,4,FALSE),F10-D10))</f>
        <v>0</v>
      </c>
      <c r="K10" s="8">
        <f ca="1">G10-IFERROR(VLOOKUP($A10,'0504'!$A$1:'0504'!H$44,7,FALSE),IFERROR(VLOOKUP($C10,'0504'!$C$1:'0504'!H$44,5,FALSE),G10-E10))</f>
        <v>0</v>
      </c>
      <c r="L10" s="4">
        <f ca="1" t="shared" si="2"/>
        <v>0</v>
      </c>
    </row>
    <row r="11" s="2" customFormat="1" spans="1:12">
      <c r="A11" s="2" t="s">
        <v>15</v>
      </c>
      <c r="B11" s="2" t="s">
        <v>10</v>
      </c>
      <c r="C11" s="9">
        <v>45774</v>
      </c>
      <c r="D11" s="2">
        <v>48</v>
      </c>
      <c r="E11" s="2">
        <v>98</v>
      </c>
      <c r="F11" s="2">
        <v>140</v>
      </c>
      <c r="G11" s="2">
        <v>216</v>
      </c>
      <c r="H11" s="4">
        <f t="shared" si="0"/>
        <v>2.04166666666667</v>
      </c>
      <c r="I11" s="4">
        <f t="shared" si="1"/>
        <v>1.54285714285714</v>
      </c>
      <c r="J11" s="7">
        <f ca="1">F11-IFERROR(VLOOKUP($A11,'0504'!$A$1:'0504'!G$48,6,FALSE),IFERROR(VLOOKUP($C11,'0504'!$C$1:'0504'!G$48,4,FALSE),F11-D11))</f>
        <v>0</v>
      </c>
      <c r="K11" s="8">
        <f ca="1">G11-IFERROR(VLOOKUP($A11,'0504'!$A$1:'0504'!H$44,7,FALSE),IFERROR(VLOOKUP($C11,'0504'!$C$1:'0504'!H$44,5,FALSE),G11-E11))</f>
        <v>0</v>
      </c>
      <c r="L11" s="4">
        <f ca="1" t="shared" si="2"/>
        <v>0</v>
      </c>
    </row>
    <row r="12" s="2" customFormat="1" spans="1:12">
      <c r="A12" s="2" t="s">
        <v>16</v>
      </c>
      <c r="B12" s="2" t="s">
        <v>10</v>
      </c>
      <c r="C12" s="9">
        <v>45774</v>
      </c>
      <c r="D12" s="2">
        <v>267</v>
      </c>
      <c r="E12" s="2">
        <v>248</v>
      </c>
      <c r="F12" s="2">
        <v>396</v>
      </c>
      <c r="G12" s="2">
        <v>371</v>
      </c>
      <c r="H12" s="4">
        <f t="shared" si="0"/>
        <v>0.928838951310861</v>
      </c>
      <c r="I12" s="4">
        <f t="shared" si="1"/>
        <v>0.936868686868687</v>
      </c>
      <c r="J12" s="7">
        <f ca="1">F12-IFERROR(VLOOKUP($A12,'0504'!$A$1:'0504'!G$48,6,FALSE),IFERROR(VLOOKUP($C12,'0504'!$C$1:'0504'!G$48,4,FALSE),F12-D12))</f>
        <v>6</v>
      </c>
      <c r="K12" s="8">
        <f ca="1">G12-IFERROR(VLOOKUP($A12,'0504'!$A$1:'0504'!H$44,7,FALSE),IFERROR(VLOOKUP($C12,'0504'!$C$1:'0504'!H$44,5,FALSE),G12-E12))</f>
        <v>4</v>
      </c>
      <c r="L12" s="4">
        <f ca="1" t="shared" si="2"/>
        <v>0.666666666666667</v>
      </c>
    </row>
    <row r="13" s="2" customFormat="1" spans="1:12">
      <c r="A13" s="2" t="s">
        <v>17</v>
      </c>
      <c r="B13" s="2" t="s">
        <v>10</v>
      </c>
      <c r="C13" s="9">
        <v>45773</v>
      </c>
      <c r="D13" s="2">
        <v>43</v>
      </c>
      <c r="E13" s="2">
        <v>20</v>
      </c>
      <c r="F13" s="2">
        <v>142</v>
      </c>
      <c r="G13" s="2">
        <v>190</v>
      </c>
      <c r="H13" s="4">
        <f t="shared" si="0"/>
        <v>0.465116279069767</v>
      </c>
      <c r="I13" s="4">
        <f t="shared" si="1"/>
        <v>1.33802816901408</v>
      </c>
      <c r="J13" s="7">
        <f ca="1">F13-IFERROR(VLOOKUP($A13,'0504'!$A$1:'0504'!G$48,6,FALSE),IFERROR(VLOOKUP($C13,'0504'!$C$1:'0504'!G$48,4,FALSE),F13-D13))</f>
        <v>0</v>
      </c>
      <c r="K13" s="8">
        <f ca="1">G13-IFERROR(VLOOKUP($A13,'0504'!$A$1:'0504'!H$44,7,FALSE),IFERROR(VLOOKUP($C13,'0504'!$C$1:'0504'!H$44,5,FALSE),G13-E13))</f>
        <v>0</v>
      </c>
      <c r="L13" s="4">
        <f ca="1" t="shared" si="2"/>
        <v>0</v>
      </c>
    </row>
    <row r="14" s="2" customFormat="1" spans="1:12">
      <c r="A14" s="2" t="s">
        <v>18</v>
      </c>
      <c r="B14" s="2" t="s">
        <v>10</v>
      </c>
      <c r="C14" s="9">
        <v>45773</v>
      </c>
      <c r="D14" s="2">
        <v>41</v>
      </c>
      <c r="E14" s="2">
        <v>18</v>
      </c>
      <c r="F14" s="2">
        <v>225</v>
      </c>
      <c r="G14" s="2">
        <v>247</v>
      </c>
      <c r="H14" s="4">
        <f t="shared" si="0"/>
        <v>0.439024390243902</v>
      </c>
      <c r="I14" s="4">
        <f t="shared" si="1"/>
        <v>1.09777777777778</v>
      </c>
      <c r="J14" s="7">
        <f ca="1">F14-IFERROR(VLOOKUP($A14,'0504'!$A$1:'0504'!G$48,6,FALSE),IFERROR(VLOOKUP($C14,'0504'!$C$1:'0504'!G$48,4,FALSE),F14-D14))</f>
        <v>2</v>
      </c>
      <c r="K14" s="8">
        <f ca="1">G14-IFERROR(VLOOKUP($A14,'0504'!$A$1:'0504'!H$44,7,FALSE),IFERROR(VLOOKUP($C14,'0504'!$C$1:'0504'!H$44,5,FALSE),G14-E14))</f>
        <v>0</v>
      </c>
      <c r="L14" s="4">
        <f ca="1" t="shared" si="2"/>
        <v>0</v>
      </c>
    </row>
    <row r="15" s="2" customFormat="1" spans="1:13">
      <c r="A15" s="2" t="s">
        <v>19</v>
      </c>
      <c r="B15" s="2" t="s">
        <v>10</v>
      </c>
      <c r="C15" s="9">
        <v>45772</v>
      </c>
      <c r="D15" s="2">
        <v>108</v>
      </c>
      <c r="E15" s="2">
        <v>286</v>
      </c>
      <c r="F15" s="2">
        <v>198</v>
      </c>
      <c r="G15" s="2">
        <v>612</v>
      </c>
      <c r="H15" s="4">
        <f t="shared" si="0"/>
        <v>2.64814814814815</v>
      </c>
      <c r="I15" s="4">
        <f t="shared" si="1"/>
        <v>3.09090909090909</v>
      </c>
      <c r="J15" s="7">
        <f ca="1">F15-IFERROR(VLOOKUP($A15,'0504'!$A$1:'0504'!G$48,6,FALSE),IFERROR(VLOOKUP($C15,'0504'!$C$1:'0504'!G$48,4,FALSE),F15-D15))</f>
        <v>0</v>
      </c>
      <c r="K15" s="8">
        <f ca="1">G15-IFERROR(VLOOKUP($A15,'0504'!$A$1:'0504'!H$44,7,FALSE),IFERROR(VLOOKUP($C15,'0504'!$C$1:'0504'!H$44,5,FALSE),G15-E15))</f>
        <v>0</v>
      </c>
      <c r="L15" s="4">
        <f ca="1" t="shared" si="2"/>
        <v>0</v>
      </c>
      <c r="M15" s="2" t="s">
        <v>20</v>
      </c>
    </row>
    <row r="16" s="2" customFormat="1" spans="1:12">
      <c r="A16" s="2" t="s">
        <v>21</v>
      </c>
      <c r="B16" s="2" t="s">
        <v>10</v>
      </c>
      <c r="C16" s="9">
        <v>45771</v>
      </c>
      <c r="D16" s="2">
        <v>39</v>
      </c>
      <c r="E16" s="2">
        <v>18</v>
      </c>
      <c r="F16" s="2">
        <v>191</v>
      </c>
      <c r="G16" s="2">
        <v>183</v>
      </c>
      <c r="H16" s="4">
        <f t="shared" si="0"/>
        <v>0.461538461538462</v>
      </c>
      <c r="I16" s="4">
        <f t="shared" si="1"/>
        <v>0.958115183246073</v>
      </c>
      <c r="J16" s="7">
        <f ca="1">F16-IFERROR(VLOOKUP($A16,'0504'!$A$1:'0504'!G$48,6,FALSE),IFERROR(VLOOKUP($C16,'0504'!$C$1:'0504'!G$48,4,FALSE),F16-D16))</f>
        <v>2</v>
      </c>
      <c r="K16" s="8">
        <f ca="1">G16-IFERROR(VLOOKUP($A16,'0504'!$A$1:'0504'!H$44,7,FALSE),IFERROR(VLOOKUP($C16,'0504'!$C$1:'0504'!H$44,5,FALSE),G16-E16))</f>
        <v>0</v>
      </c>
      <c r="L16" s="4">
        <f ca="1" t="shared" si="2"/>
        <v>0</v>
      </c>
    </row>
    <row r="17" s="2" customFormat="1" spans="1:12">
      <c r="A17" s="2" t="s">
        <v>22</v>
      </c>
      <c r="B17" s="2" t="s">
        <v>10</v>
      </c>
      <c r="C17" s="9">
        <v>45771</v>
      </c>
      <c r="D17" s="2">
        <v>46</v>
      </c>
      <c r="E17" s="2">
        <v>12</v>
      </c>
      <c r="F17" s="2">
        <v>173</v>
      </c>
      <c r="G17" s="2">
        <v>125</v>
      </c>
      <c r="H17" s="4">
        <f t="shared" si="0"/>
        <v>0.260869565217391</v>
      </c>
      <c r="I17" s="4">
        <f t="shared" si="1"/>
        <v>0.722543352601156</v>
      </c>
      <c r="J17" s="7">
        <f ca="1">F17-IFERROR(VLOOKUP($A17,'0504'!$A$1:'0504'!G$48,6,FALSE),IFERROR(VLOOKUP($C17,'0504'!$C$1:'0504'!G$48,4,FALSE),F17-D17))</f>
        <v>1</v>
      </c>
      <c r="K17" s="8">
        <f ca="1">G17-IFERROR(VLOOKUP($A17,'0504'!$A$1:'0504'!H$44,7,FALSE),IFERROR(VLOOKUP($C17,'0504'!$C$1:'0504'!H$44,5,FALSE),G17-E17))</f>
        <v>4</v>
      </c>
      <c r="L17" s="4">
        <f ca="1" t="shared" si="2"/>
        <v>4</v>
      </c>
    </row>
    <row r="18" s="2" customFormat="1" spans="1:13">
      <c r="A18" s="2" t="s">
        <v>23</v>
      </c>
      <c r="B18" s="2" t="s">
        <v>10</v>
      </c>
      <c r="C18" s="9">
        <v>45770</v>
      </c>
      <c r="D18" s="2">
        <v>75</v>
      </c>
      <c r="E18" s="2">
        <v>163</v>
      </c>
      <c r="F18" s="2">
        <v>225</v>
      </c>
      <c r="G18" s="2">
        <v>685</v>
      </c>
      <c r="H18" s="4">
        <f t="shared" si="0"/>
        <v>2.17333333333333</v>
      </c>
      <c r="I18" s="4">
        <f t="shared" si="1"/>
        <v>3.04444444444444</v>
      </c>
      <c r="J18" s="7">
        <f ca="1">F18-IFERROR(VLOOKUP($A18,'0504'!$A$1:'0504'!G$48,6,FALSE),IFERROR(VLOOKUP($C18,'0504'!$C$1:'0504'!G$48,4,FALSE),F18-D18))</f>
        <v>1</v>
      </c>
      <c r="K18" s="8">
        <f ca="1">G18-IFERROR(VLOOKUP($A18,'0504'!$A$1:'0504'!H$44,7,FALSE),IFERROR(VLOOKUP($C18,'0504'!$C$1:'0504'!H$44,5,FALSE),G18-E18))</f>
        <v>0</v>
      </c>
      <c r="L18" s="4">
        <f ca="1" t="shared" si="2"/>
        <v>0</v>
      </c>
      <c r="M18" s="2" t="s">
        <v>24</v>
      </c>
    </row>
    <row r="19" s="2" customFormat="1" spans="1:12">
      <c r="A19" s="2" t="s">
        <v>28</v>
      </c>
      <c r="B19" s="2" t="s">
        <v>10</v>
      </c>
      <c r="C19" s="9">
        <v>45768</v>
      </c>
      <c r="D19" s="2">
        <v>6</v>
      </c>
      <c r="E19" s="2">
        <v>6</v>
      </c>
      <c r="F19" s="2">
        <v>216</v>
      </c>
      <c r="G19" s="2">
        <v>603</v>
      </c>
      <c r="H19" s="4">
        <f t="shared" si="0"/>
        <v>1</v>
      </c>
      <c r="I19" s="4">
        <f t="shared" si="1"/>
        <v>2.79166666666667</v>
      </c>
      <c r="J19" s="7">
        <f ca="1">F19-IFERROR(VLOOKUP($A19,'0504'!$A$1:'0504'!G$48,6,FALSE),IFERROR(VLOOKUP($C19,'0504'!$C$1:'0504'!G$48,4,FALSE),F19-D19))</f>
        <v>0</v>
      </c>
      <c r="K19" s="8">
        <f ca="1">G19-IFERROR(VLOOKUP($A19,'0504'!$A$1:'0504'!H$44,7,FALSE),IFERROR(VLOOKUP($C19,'0504'!$C$1:'0504'!H$44,5,FALSE),G19-E19))</f>
        <v>0</v>
      </c>
      <c r="L19" s="4">
        <f ca="1" t="shared" si="2"/>
        <v>0</v>
      </c>
    </row>
    <row r="20" s="2" customFormat="1" spans="1:12">
      <c r="A20" s="2" t="s">
        <v>34</v>
      </c>
      <c r="B20" s="2" t="s">
        <v>10</v>
      </c>
      <c r="C20" s="9">
        <v>45765</v>
      </c>
      <c r="D20" s="2">
        <v>4</v>
      </c>
      <c r="E20" s="2">
        <v>6</v>
      </c>
      <c r="F20" s="2">
        <v>401</v>
      </c>
      <c r="G20" s="2">
        <v>452</v>
      </c>
      <c r="H20" s="4">
        <f t="shared" si="0"/>
        <v>1.5</v>
      </c>
      <c r="I20" s="4">
        <f t="shared" si="1"/>
        <v>1.12718204488778</v>
      </c>
      <c r="J20" s="7">
        <f ca="1">F20-IFERROR(VLOOKUP($A20,'0504'!$A$1:'0504'!G$48,6,FALSE),IFERROR(VLOOKUP($C20,'0504'!$C$1:'0504'!G$48,4,FALSE),F20-D20))</f>
        <v>0</v>
      </c>
      <c r="K20" s="8">
        <f ca="1">G20-IFERROR(VLOOKUP($A20,'0504'!$A$1:'0504'!H$44,7,FALSE),IFERROR(VLOOKUP($C20,'0504'!$C$1:'0504'!H$44,5,FALSE),G20-E20))</f>
        <v>0</v>
      </c>
      <c r="L20" s="4">
        <f ca="1" t="shared" si="2"/>
        <v>0</v>
      </c>
    </row>
    <row r="21" s="2" customFormat="1" spans="1:12">
      <c r="A21" s="2" t="s">
        <v>37</v>
      </c>
      <c r="B21" s="2" t="s">
        <v>10</v>
      </c>
      <c r="C21" s="9">
        <v>45764</v>
      </c>
      <c r="D21" s="2">
        <v>13</v>
      </c>
      <c r="E21" s="2">
        <v>7</v>
      </c>
      <c r="F21" s="2">
        <v>165</v>
      </c>
      <c r="G21" s="2">
        <v>541</v>
      </c>
      <c r="H21" s="4">
        <f t="shared" si="0"/>
        <v>0.538461538461538</v>
      </c>
      <c r="I21" s="4">
        <f t="shared" si="1"/>
        <v>3.27878787878788</v>
      </c>
      <c r="J21" s="7">
        <f ca="1">F21-IFERROR(VLOOKUP($A21,'0504'!$A$1:'0504'!G$48,6,FALSE),IFERROR(VLOOKUP($C21,'0504'!$C$1:'0504'!G$48,4,FALSE),F21-D21))</f>
        <v>1</v>
      </c>
      <c r="K21" s="8">
        <f ca="1">G21-IFERROR(VLOOKUP($A21,'0504'!$A$1:'0504'!H$44,7,FALSE),IFERROR(VLOOKUP($C21,'0504'!$C$1:'0504'!H$44,5,FALSE),G21-E21))</f>
        <v>0</v>
      </c>
      <c r="L21" s="4">
        <f ca="1" t="shared" si="2"/>
        <v>0</v>
      </c>
    </row>
    <row r="22" s="2" customFormat="1" spans="1:12">
      <c r="A22" s="2" t="s">
        <v>38</v>
      </c>
      <c r="B22" s="2" t="s">
        <v>10</v>
      </c>
      <c r="C22" s="9">
        <v>45764</v>
      </c>
      <c r="D22" s="2">
        <v>58</v>
      </c>
      <c r="E22" s="2">
        <v>21</v>
      </c>
      <c r="F22" s="2">
        <v>372</v>
      </c>
      <c r="G22" s="2">
        <v>275</v>
      </c>
      <c r="H22" s="4">
        <f t="shared" si="0"/>
        <v>0.362068965517241</v>
      </c>
      <c r="I22" s="4">
        <f t="shared" si="1"/>
        <v>0.739247311827957</v>
      </c>
      <c r="J22" s="7">
        <f ca="1">F22-IFERROR(VLOOKUP($A22,'0504'!$A$1:'0504'!G$48,6,FALSE),IFERROR(VLOOKUP($C22,'0504'!$C$1:'0504'!G$48,4,FALSE),F22-D22))</f>
        <v>8</v>
      </c>
      <c r="K22" s="8">
        <f ca="1">G22-IFERROR(VLOOKUP($A22,'0504'!$A$1:'0504'!H$44,7,FALSE),IFERROR(VLOOKUP($C22,'0504'!$C$1:'0504'!H$44,5,FALSE),G22-E22))</f>
        <v>0</v>
      </c>
      <c r="L22" s="4">
        <f ca="1" t="shared" si="2"/>
        <v>0</v>
      </c>
    </row>
    <row r="23" s="2" customFormat="1" spans="1:13">
      <c r="A23" s="2" t="s">
        <v>40</v>
      </c>
      <c r="B23" s="2" t="s">
        <v>10</v>
      </c>
      <c r="C23" s="9">
        <v>45763</v>
      </c>
      <c r="D23" s="2">
        <v>2</v>
      </c>
      <c r="E23" s="2">
        <v>4</v>
      </c>
      <c r="F23" s="2">
        <v>130</v>
      </c>
      <c r="G23" s="2">
        <v>198</v>
      </c>
      <c r="H23" s="4">
        <f t="shared" si="0"/>
        <v>2</v>
      </c>
      <c r="I23" s="4">
        <f t="shared" si="1"/>
        <v>1.52307692307692</v>
      </c>
      <c r="J23" s="7">
        <f ca="1">F23-IFERROR(VLOOKUP($A23,'0504'!$A$1:'0504'!G$48,6,FALSE),IFERROR(VLOOKUP($C23,'0504'!$C$1:'0504'!G$48,4,FALSE),F23-D23))</f>
        <v>0</v>
      </c>
      <c r="K23" s="8">
        <f ca="1">G23-IFERROR(VLOOKUP($A23,'0504'!$A$1:'0504'!H$44,7,FALSE),IFERROR(VLOOKUP($C23,'0504'!$C$1:'0504'!H$44,5,FALSE),G23-E23))</f>
        <v>0</v>
      </c>
      <c r="L23" s="4">
        <f ca="1" t="shared" si="2"/>
        <v>0</v>
      </c>
      <c r="M23" s="2" t="s">
        <v>41</v>
      </c>
    </row>
    <row r="24" s="2" customFormat="1" spans="1:13">
      <c r="A24" s="2" t="s">
        <v>42</v>
      </c>
      <c r="B24" s="2" t="s">
        <v>10</v>
      </c>
      <c r="C24" s="9">
        <v>45762</v>
      </c>
      <c r="D24" s="2">
        <v>10</v>
      </c>
      <c r="E24" s="2">
        <v>6</v>
      </c>
      <c r="F24" s="2">
        <v>603</v>
      </c>
      <c r="G24" s="2">
        <v>641</v>
      </c>
      <c r="H24" s="4">
        <f t="shared" si="0"/>
        <v>0.6</v>
      </c>
      <c r="I24" s="4">
        <f t="shared" si="1"/>
        <v>1.06301824212272</v>
      </c>
      <c r="J24" s="7">
        <f ca="1">F24-IFERROR(VLOOKUP($A24,'0504'!$A$1:'0504'!G$48,6,FALSE),IFERROR(VLOOKUP($C24,'0504'!$C$1:'0504'!G$48,4,FALSE),F24-D24))</f>
        <v>3</v>
      </c>
      <c r="K24" s="8">
        <f ca="1">G24-IFERROR(VLOOKUP($A24,'0504'!$A$1:'0504'!H$44,7,FALSE),IFERROR(VLOOKUP($C24,'0504'!$C$1:'0504'!H$44,5,FALSE),G24-E24))</f>
        <v>0</v>
      </c>
      <c r="L24" s="4">
        <f ca="1" t="shared" si="2"/>
        <v>0</v>
      </c>
      <c r="M24" s="2" t="s">
        <v>43</v>
      </c>
    </row>
    <row r="25" s="2" customFormat="1" spans="1:13">
      <c r="A25" s="2" t="s">
        <v>44</v>
      </c>
      <c r="B25" s="2" t="s">
        <v>10</v>
      </c>
      <c r="C25" s="9">
        <v>45761</v>
      </c>
      <c r="D25" s="2">
        <v>25</v>
      </c>
      <c r="E25" s="2">
        <v>12</v>
      </c>
      <c r="F25" s="2">
        <v>1057</v>
      </c>
      <c r="G25" s="2">
        <v>919</v>
      </c>
      <c r="H25" s="4">
        <f t="shared" si="0"/>
        <v>0.48</v>
      </c>
      <c r="I25" s="4">
        <f t="shared" si="1"/>
        <v>0.869441816461684</v>
      </c>
      <c r="J25" s="7">
        <f ca="1">F25-IFERROR(VLOOKUP($A25,'0504'!$A$1:'0504'!G$48,6,FALSE),IFERROR(VLOOKUP($C25,'0504'!$C$1:'0504'!G$48,4,FALSE),F25-D25))</f>
        <v>1</v>
      </c>
      <c r="K25" s="8">
        <f ca="1">G25-IFERROR(VLOOKUP($A25,'0504'!$A$1:'0504'!H$44,7,FALSE),IFERROR(VLOOKUP($C25,'0504'!$C$1:'0504'!H$44,5,FALSE),G25-E25))</f>
        <v>0</v>
      </c>
      <c r="L25" s="4">
        <f ca="1" t="shared" si="2"/>
        <v>0</v>
      </c>
      <c r="M25" s="2" t="s">
        <v>45</v>
      </c>
    </row>
    <row r="26" s="2" customFormat="1" spans="1:13">
      <c r="A26" s="2" t="s">
        <v>46</v>
      </c>
      <c r="B26" s="2" t="s">
        <v>10</v>
      </c>
      <c r="C26" s="9">
        <v>45757</v>
      </c>
      <c r="D26" s="2">
        <v>13</v>
      </c>
      <c r="E26" s="2">
        <v>6</v>
      </c>
      <c r="F26" s="2">
        <v>631</v>
      </c>
      <c r="G26" s="2">
        <v>763</v>
      </c>
      <c r="H26" s="4">
        <f t="shared" si="0"/>
        <v>0.461538461538462</v>
      </c>
      <c r="I26" s="4">
        <f t="shared" si="1"/>
        <v>1.20919175911252</v>
      </c>
      <c r="J26" s="7">
        <f ca="1">F26-IFERROR(VLOOKUP($A26,'0504'!$A$1:'0504'!G$48,6,FALSE),IFERROR(VLOOKUP($C26,'0504'!$C$1:'0504'!G$48,4,FALSE),F26-D26))</f>
        <v>5</v>
      </c>
      <c r="K26" s="8">
        <f ca="1">G26-IFERROR(VLOOKUP($A26,'0504'!$A$1:'0504'!H$44,7,FALSE),IFERROR(VLOOKUP($C26,'0504'!$C$1:'0504'!H$44,5,FALSE),G26-E26))</f>
        <v>0</v>
      </c>
      <c r="L26" s="4">
        <f ca="1" t="shared" si="2"/>
        <v>0</v>
      </c>
      <c r="M26" s="2" t="s">
        <v>47</v>
      </c>
    </row>
    <row r="27" s="2" customFormat="1" spans="1:13">
      <c r="A27" s="2" t="s">
        <v>73</v>
      </c>
      <c r="B27" s="2" t="s">
        <v>10</v>
      </c>
      <c r="C27" s="9">
        <v>45755</v>
      </c>
      <c r="D27" s="2">
        <v>10</v>
      </c>
      <c r="E27" s="2">
        <v>6</v>
      </c>
      <c r="F27" s="2">
        <v>440</v>
      </c>
      <c r="G27" s="2">
        <v>511</v>
      </c>
      <c r="H27" s="4">
        <f t="shared" si="0"/>
        <v>0.6</v>
      </c>
      <c r="I27" s="4">
        <f t="shared" si="1"/>
        <v>1.16136363636364</v>
      </c>
      <c r="J27" s="7">
        <f ca="1">F27-IFERROR(VLOOKUP($A27,'0504'!$A$1:'0504'!G$48,6,FALSE),IFERROR(VLOOKUP($C27,'0504'!$C$1:'0504'!G$48,4,FALSE),F27-D27))</f>
        <v>10</v>
      </c>
      <c r="K27" s="8">
        <f ca="1">G27-IFERROR(VLOOKUP($A27,'0504'!$A$1:'0504'!H$44,7,FALSE),IFERROR(VLOOKUP($C27,'0504'!$C$1:'0504'!H$44,5,FALSE),G27-E27))</f>
        <v>6</v>
      </c>
      <c r="L27" s="4">
        <f ca="1" t="shared" si="2"/>
        <v>0.6</v>
      </c>
      <c r="M27" s="2" t="s">
        <v>74</v>
      </c>
    </row>
    <row r="28" s="2" customFormat="1" spans="1:13">
      <c r="A28" s="2" t="s">
        <v>70</v>
      </c>
      <c r="B28" s="2" t="s">
        <v>10</v>
      </c>
      <c r="C28" s="9">
        <v>45751</v>
      </c>
      <c r="D28" s="2">
        <v>17</v>
      </c>
      <c r="E28" s="2">
        <v>8</v>
      </c>
      <c r="F28" s="2">
        <v>165</v>
      </c>
      <c r="G28" s="2">
        <v>266</v>
      </c>
      <c r="H28" s="4">
        <f t="shared" si="0"/>
        <v>0.470588235294118</v>
      </c>
      <c r="I28" s="4">
        <f t="shared" si="1"/>
        <v>1.61212121212121</v>
      </c>
      <c r="J28" s="7">
        <f ca="1">F28-IFERROR(VLOOKUP($A28,'0504'!$A$1:'0504'!G$48,6,FALSE),IFERROR(VLOOKUP($C28,'0504'!$C$1:'0504'!G$48,4,FALSE),F28-D28))</f>
        <v>4</v>
      </c>
      <c r="K28" s="8">
        <f ca="1">G28-IFERROR(VLOOKUP($A28,'0504'!$A$1:'0504'!H$44,7,FALSE),IFERROR(VLOOKUP($C28,'0504'!$C$1:'0504'!H$44,5,FALSE),G28-E28))</f>
        <v>0</v>
      </c>
      <c r="L28" s="4">
        <f ca="1" t="shared" si="2"/>
        <v>0</v>
      </c>
      <c r="M28" s="2" t="s">
        <v>71</v>
      </c>
    </row>
    <row r="29" s="2" customFormat="1" spans="1:13">
      <c r="A29" s="2" t="s">
        <v>48</v>
      </c>
      <c r="B29" s="2" t="s">
        <v>10</v>
      </c>
      <c r="C29" s="9">
        <v>45750</v>
      </c>
      <c r="D29" s="2">
        <v>7</v>
      </c>
      <c r="E29" s="2">
        <v>12</v>
      </c>
      <c r="F29" s="2">
        <v>229</v>
      </c>
      <c r="G29" s="2">
        <v>542</v>
      </c>
      <c r="H29" s="4">
        <f t="shared" si="0"/>
        <v>1.71428571428571</v>
      </c>
      <c r="I29" s="4">
        <f t="shared" si="1"/>
        <v>2.36681222707424</v>
      </c>
      <c r="J29" s="7">
        <f ca="1">F29-IFERROR(VLOOKUP($A29,'0504'!$A$1:'0504'!G$48,6,FALSE),IFERROR(VLOOKUP($C29,'0504'!$C$1:'0504'!G$48,4,FALSE),F29-D29))</f>
        <v>4</v>
      </c>
      <c r="K29" s="8">
        <f ca="1">G29-IFERROR(VLOOKUP($A29,'0504'!$A$1:'0504'!H$44,7,FALSE),IFERROR(VLOOKUP($C29,'0504'!$C$1:'0504'!H$44,5,FALSE),G29-E29))</f>
        <v>0</v>
      </c>
      <c r="L29" s="4">
        <f ca="1" t="shared" si="2"/>
        <v>0</v>
      </c>
      <c r="M29" s="2" t="s">
        <v>49</v>
      </c>
    </row>
    <row r="30" s="2" customFormat="1" spans="1:13">
      <c r="A30" s="2" t="s">
        <v>52</v>
      </c>
      <c r="B30" s="2" t="s">
        <v>10</v>
      </c>
      <c r="C30" s="9">
        <v>45743</v>
      </c>
      <c r="D30" s="2">
        <v>66</v>
      </c>
      <c r="E30" s="2">
        <v>20</v>
      </c>
      <c r="F30" s="2">
        <v>4912</v>
      </c>
      <c r="G30" s="2">
        <v>1996</v>
      </c>
      <c r="H30" s="4">
        <f t="shared" si="0"/>
        <v>0.303030303030303</v>
      </c>
      <c r="I30" s="4">
        <f t="shared" si="1"/>
        <v>0.406351791530945</v>
      </c>
      <c r="J30" s="7">
        <f ca="1">F30-IFERROR(VLOOKUP($A30,'0504'!$A$1:'0504'!G$48,6,FALSE),IFERROR(VLOOKUP($C30,'0504'!$C$1:'0504'!G$48,4,FALSE),F30-D30))</f>
        <v>15</v>
      </c>
      <c r="K30" s="8">
        <f ca="1">G30-IFERROR(VLOOKUP($A30,'0504'!$A$1:'0504'!H$44,7,FALSE),IFERROR(VLOOKUP($C30,'0504'!$C$1:'0504'!H$44,5,FALSE),G30-E30))</f>
        <v>5</v>
      </c>
      <c r="L30" s="4">
        <f ca="1" t="shared" si="2"/>
        <v>0.333333333333333</v>
      </c>
      <c r="M30" s="2" t="s">
        <v>53</v>
      </c>
    </row>
    <row r="31" s="2" customFormat="1" spans="1:13">
      <c r="A31" s="2" t="s">
        <v>54</v>
      </c>
      <c r="B31" s="2" t="s">
        <v>10</v>
      </c>
      <c r="C31" s="9">
        <v>45741</v>
      </c>
      <c r="D31" s="2">
        <v>87</v>
      </c>
      <c r="E31" s="2">
        <v>10</v>
      </c>
      <c r="F31" s="2">
        <v>1237</v>
      </c>
      <c r="G31" s="2">
        <v>687</v>
      </c>
      <c r="H31" s="4">
        <f t="shared" si="0"/>
        <v>0.114942528735632</v>
      </c>
      <c r="I31" s="4">
        <f t="shared" si="1"/>
        <v>0.555375909458367</v>
      </c>
      <c r="J31" s="7">
        <f ca="1">F31-IFERROR(VLOOKUP($A31,'0504'!$A$1:'0504'!G$48,6,FALSE),IFERROR(VLOOKUP($C31,'0504'!$C$1:'0504'!G$48,4,FALSE),F31-D31))</f>
        <v>13</v>
      </c>
      <c r="K31" s="8">
        <f ca="1">G31-IFERROR(VLOOKUP($A31,'0504'!$A$1:'0504'!H$44,7,FALSE),IFERROR(VLOOKUP($C31,'0504'!$C$1:'0504'!H$44,5,FALSE),G31-E31))</f>
        <v>0</v>
      </c>
      <c r="L31" s="4">
        <f ca="1" t="shared" si="2"/>
        <v>0</v>
      </c>
      <c r="M31" s="13" t="s">
        <v>55</v>
      </c>
    </row>
    <row r="32" s="2" customFormat="1" spans="1:13">
      <c r="A32" s="2" t="s">
        <v>75</v>
      </c>
      <c r="B32" s="2" t="s">
        <v>10</v>
      </c>
      <c r="C32" s="9">
        <v>45720</v>
      </c>
      <c r="D32" s="2">
        <v>17</v>
      </c>
      <c r="E32" s="2">
        <v>3</v>
      </c>
      <c r="F32" s="2">
        <v>372</v>
      </c>
      <c r="G32" s="2">
        <v>275</v>
      </c>
      <c r="H32" s="4">
        <f t="shared" si="0"/>
        <v>0.176470588235294</v>
      </c>
      <c r="I32" s="4">
        <f t="shared" si="1"/>
        <v>0.739247311827957</v>
      </c>
      <c r="J32" s="7">
        <f ca="1">F32-IFERROR(VLOOKUP($A32,'0504'!$A$1:'0504'!G$48,6,FALSE),IFERROR(VLOOKUP($C32,'0504'!$C$1:'0504'!G$48,4,FALSE),F32-D32))</f>
        <v>17</v>
      </c>
      <c r="K32" s="8">
        <f ca="1">G32-IFERROR(VLOOKUP($A32,'0504'!$A$1:'0504'!H$44,7,FALSE),IFERROR(VLOOKUP($C32,'0504'!$C$1:'0504'!H$44,5,FALSE),G32-E32))</f>
        <v>3</v>
      </c>
      <c r="L32" s="4">
        <f ca="1" t="shared" si="2"/>
        <v>0.176470588235294</v>
      </c>
      <c r="M32" s="13" t="s">
        <v>76</v>
      </c>
    </row>
    <row r="33" s="2" customFormat="1" spans="1:13">
      <c r="A33" s="2" t="s">
        <v>58</v>
      </c>
      <c r="B33" s="2" t="s">
        <v>10</v>
      </c>
      <c r="C33" s="9">
        <v>45719</v>
      </c>
      <c r="D33" s="2">
        <v>7</v>
      </c>
      <c r="E33" s="2">
        <v>10</v>
      </c>
      <c r="F33" s="2">
        <v>380</v>
      </c>
      <c r="G33" s="2">
        <v>657</v>
      </c>
      <c r="H33" s="4">
        <f t="shared" si="0"/>
        <v>1.42857142857143</v>
      </c>
      <c r="I33" s="4">
        <f t="shared" si="1"/>
        <v>1.72894736842105</v>
      </c>
      <c r="J33" s="7">
        <f ca="1">F33-IFERROR(VLOOKUP($A33,'0504'!$A$1:'0504'!G$48,6,FALSE),IFERROR(VLOOKUP($C33,'0504'!$C$1:'0504'!G$48,4,FALSE),F33-D33))</f>
        <v>1</v>
      </c>
      <c r="K33" s="8">
        <f ca="1">G33-IFERROR(VLOOKUP($A33,'0504'!$A$1:'0504'!H$44,7,FALSE),IFERROR(VLOOKUP($C33,'0504'!$C$1:'0504'!H$44,5,FALSE),G33-E33))</f>
        <v>0</v>
      </c>
      <c r="L33" s="4">
        <f ca="1" t="shared" si="2"/>
        <v>0</v>
      </c>
      <c r="M33" s="2" t="s">
        <v>59</v>
      </c>
    </row>
    <row r="34" s="2" customFormat="1" spans="1:13">
      <c r="A34" s="2" t="s">
        <v>60</v>
      </c>
      <c r="B34" s="2" t="s">
        <v>10</v>
      </c>
      <c r="C34" s="9">
        <v>45713</v>
      </c>
      <c r="D34" s="2">
        <v>6</v>
      </c>
      <c r="E34" s="2">
        <v>31</v>
      </c>
      <c r="F34" s="2">
        <v>226</v>
      </c>
      <c r="G34" s="2">
        <v>589</v>
      </c>
      <c r="H34" s="4">
        <f t="shared" si="0"/>
        <v>5.16666666666667</v>
      </c>
      <c r="I34" s="4">
        <f t="shared" si="1"/>
        <v>2.60619469026549</v>
      </c>
      <c r="J34" s="7">
        <f ca="1">F34-IFERROR(VLOOKUP($A34,'0504'!$A$1:'0504'!G$48,6,FALSE),IFERROR(VLOOKUP($C34,'0504'!$C$1:'0504'!G$48,4,FALSE),F34-D34))</f>
        <v>0</v>
      </c>
      <c r="K34" s="8">
        <f ca="1">G34-IFERROR(VLOOKUP($A34,'0504'!$A$1:'0504'!H$44,7,FALSE),IFERROR(VLOOKUP($C34,'0504'!$C$1:'0504'!H$44,5,FALSE),G34-E34))</f>
        <v>0</v>
      </c>
      <c r="L34" s="4">
        <f ca="1" t="shared" si="2"/>
        <v>0</v>
      </c>
      <c r="M34" s="2" t="s">
        <v>61</v>
      </c>
    </row>
    <row r="35" s="2" customFormat="1" spans="1:13">
      <c r="A35" s="2" t="s">
        <v>62</v>
      </c>
      <c r="B35" s="2" t="s">
        <v>10</v>
      </c>
      <c r="C35" s="9">
        <v>45691</v>
      </c>
      <c r="D35" s="2">
        <v>18</v>
      </c>
      <c r="E35" s="2">
        <v>5</v>
      </c>
      <c r="F35" s="2">
        <v>321</v>
      </c>
      <c r="G35" s="2">
        <v>36</v>
      </c>
      <c r="H35" s="4">
        <f t="shared" si="0"/>
        <v>0.277777777777778</v>
      </c>
      <c r="I35" s="4">
        <f t="shared" si="1"/>
        <v>0.11214953271028</v>
      </c>
      <c r="J35" s="7">
        <f ca="1">F35-IFERROR(VLOOKUP($A35,'0504'!$A$1:'0504'!G$48,6,FALSE),IFERROR(VLOOKUP($C35,'0504'!$C$1:'0504'!G$48,4,FALSE),F35-D35))</f>
        <v>0</v>
      </c>
      <c r="K35" s="8">
        <f ca="1">G35-IFERROR(VLOOKUP($A35,'0504'!$A$1:'0504'!H$44,7,FALSE),IFERROR(VLOOKUP($C35,'0504'!$C$1:'0504'!H$44,5,FALSE),G35-E35))</f>
        <v>0</v>
      </c>
      <c r="L35" s="4">
        <f ca="1" t="shared" si="2"/>
        <v>0</v>
      </c>
      <c r="M35" s="2" t="s">
        <v>63</v>
      </c>
    </row>
    <row r="36" spans="11:11">
      <c r="K36" s="2">
        <f ca="1">SUM(K2:K35)</f>
        <v>484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topLeftCell="A16" workbookViewId="0">
      <selection activeCell="A21" sqref="$A21:$XFD21"/>
    </sheetView>
  </sheetViews>
  <sheetFormatPr defaultColWidth="10" defaultRowHeight="14.4"/>
  <cols>
    <col min="1" max="1" width="47.8888888888889" style="2" customWidth="1"/>
    <col min="2" max="2" width="0.222222222222222" style="2" customWidth="1"/>
    <col min="3" max="3" width="10" style="2"/>
    <col min="4" max="7" width="6" style="2" customWidth="1"/>
    <col min="8" max="9" width="6.77777777777778" style="2" customWidth="1"/>
    <col min="10" max="10" width="7.66666666666667" style="2" customWidth="1"/>
    <col min="11" max="12" width="6.77777777777778" style="2" customWidth="1"/>
    <col min="13" max="13" width="18.6666666666667" style="2" customWidth="1"/>
    <col min="14" max="16384" width="10" style="2"/>
  </cols>
  <sheetData>
    <row r="1" s="2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J1" s="5" t="s">
        <v>7</v>
      </c>
      <c r="K1" s="5" t="s">
        <v>8</v>
      </c>
    </row>
    <row r="2" s="2" customFormat="1" spans="1:12">
      <c r="A2" s="2" t="s">
        <v>77</v>
      </c>
      <c r="B2" s="2" t="s">
        <v>10</v>
      </c>
      <c r="C2" s="9">
        <v>45782</v>
      </c>
      <c r="D2" s="2">
        <v>107</v>
      </c>
      <c r="E2" s="2">
        <v>149</v>
      </c>
      <c r="F2" s="2">
        <v>107</v>
      </c>
      <c r="G2" s="2">
        <v>149</v>
      </c>
      <c r="H2" s="4">
        <f>E2/D2</f>
        <v>1.39252336448598</v>
      </c>
      <c r="I2" s="4">
        <f>G2/F2</f>
        <v>1.39252336448598</v>
      </c>
      <c r="J2" s="7">
        <f ca="1">F2-IFERROR(VLOOKUP($A2,'0505'!$A$1:'0505'!G$48,6,FALSE),IFERROR(VLOOKUP($C2,'0505'!$C$1:'0505'!G$48,4,FALSE),F2-D2))</f>
        <v>107</v>
      </c>
      <c r="K2" s="8">
        <f ca="1">G2-IFERROR(VLOOKUP($A2,'0505'!$A$1:'0505'!H$44,7,FALSE),IFERROR(VLOOKUP($C2,'0505'!$C$1:'0505'!H$44,5,FALSE),G2-E2))</f>
        <v>149</v>
      </c>
      <c r="L2" s="4">
        <f ca="1">IFERROR(K2/J2,)</f>
        <v>1.39252336448598</v>
      </c>
    </row>
    <row r="3" s="2" customFormat="1" spans="1:12">
      <c r="A3" s="2" t="s">
        <v>72</v>
      </c>
      <c r="B3" s="2" t="s">
        <v>10</v>
      </c>
      <c r="C3" s="9">
        <v>45781</v>
      </c>
      <c r="D3" s="2">
        <v>109</v>
      </c>
      <c r="E3" s="2">
        <v>462</v>
      </c>
      <c r="F3" s="2">
        <v>109</v>
      </c>
      <c r="G3" s="2">
        <v>462</v>
      </c>
      <c r="H3" s="4">
        <f t="shared" ref="H3:H36" si="0">E3/D3</f>
        <v>4.23853211009174</v>
      </c>
      <c r="I3" s="4">
        <f t="shared" ref="I3:I36" si="1">G3/F3</f>
        <v>4.23853211009174</v>
      </c>
      <c r="J3" s="7">
        <f ca="1">F3-IFERROR(VLOOKUP($A3,'0505'!$A$1:'0505'!G$48,6,FALSE),IFERROR(VLOOKUP($C3,'0505'!$C$1:'0505'!G$48,4,FALSE),F3-D3))</f>
        <v>36</v>
      </c>
      <c r="K3" s="8">
        <f ca="1">G3-IFERROR(VLOOKUP($A3,'0505'!$A$1:'0505'!H$44,7,FALSE),IFERROR(VLOOKUP($C3,'0505'!$C$1:'0505'!H$44,5,FALSE),G3-E3))</f>
        <v>252</v>
      </c>
      <c r="L3" s="4">
        <f ca="1" t="shared" ref="L3:L36" si="2">IFERROR(K3/J3,)</f>
        <v>7</v>
      </c>
    </row>
    <row r="4" s="2" customFormat="1" spans="1:12">
      <c r="A4" s="2" t="s">
        <v>69</v>
      </c>
      <c r="B4" s="2" t="s">
        <v>10</v>
      </c>
      <c r="C4" s="9">
        <v>45780</v>
      </c>
      <c r="D4" s="2">
        <v>967</v>
      </c>
      <c r="E4" s="2">
        <v>488</v>
      </c>
      <c r="F4" s="2">
        <v>967</v>
      </c>
      <c r="G4" s="2">
        <v>488</v>
      </c>
      <c r="H4" s="4">
        <f t="shared" si="0"/>
        <v>0.504653567735264</v>
      </c>
      <c r="I4" s="4">
        <f t="shared" si="1"/>
        <v>0.504653567735264</v>
      </c>
      <c r="J4" s="7">
        <f ca="1">F4-IFERROR(VLOOKUP($A4,'0505'!$A$1:'0505'!G$48,6,FALSE),IFERROR(VLOOKUP($C4,'0505'!$C$1:'0505'!G$48,4,FALSE),F4-D4))</f>
        <v>266</v>
      </c>
      <c r="K4" s="8">
        <f ca="1">G4-IFERROR(VLOOKUP($A4,'0505'!$A$1:'0505'!H$44,7,FALSE),IFERROR(VLOOKUP($C4,'0505'!$C$1:'0505'!H$44,5,FALSE),G4-E4))</f>
        <v>84</v>
      </c>
      <c r="L4" s="4">
        <f ca="1" t="shared" si="2"/>
        <v>0.315789473684211</v>
      </c>
    </row>
    <row r="5" s="2" customFormat="1" spans="1:12">
      <c r="A5" s="2" t="s">
        <v>68</v>
      </c>
      <c r="B5" s="2" t="s">
        <v>10</v>
      </c>
      <c r="C5" s="9">
        <v>45779</v>
      </c>
      <c r="D5" s="2">
        <v>147</v>
      </c>
      <c r="E5" s="2">
        <v>139</v>
      </c>
      <c r="F5" s="2">
        <v>147</v>
      </c>
      <c r="G5" s="2">
        <v>139</v>
      </c>
      <c r="H5" s="4">
        <f t="shared" si="0"/>
        <v>0.945578231292517</v>
      </c>
      <c r="I5" s="4">
        <f t="shared" si="1"/>
        <v>0.945578231292517</v>
      </c>
      <c r="J5" s="7">
        <f ca="1">F5-IFERROR(VLOOKUP($A5,'0505'!$A$1:'0505'!G$48,6,FALSE),IFERROR(VLOOKUP($C5,'0505'!$C$1:'0505'!G$48,4,FALSE),F5-D5))</f>
        <v>14</v>
      </c>
      <c r="K5" s="8">
        <f ca="1">G5-IFERROR(VLOOKUP($A5,'0505'!$A$1:'0505'!H$44,7,FALSE),IFERROR(VLOOKUP($C5,'0505'!$C$1:'0505'!H$44,5,FALSE),G5-E5))</f>
        <v>0</v>
      </c>
      <c r="L5" s="4">
        <f ca="1" t="shared" si="2"/>
        <v>0</v>
      </c>
    </row>
    <row r="6" s="2" customFormat="1" spans="1:12">
      <c r="A6" s="2" t="s">
        <v>66</v>
      </c>
      <c r="B6" s="2" t="s">
        <v>10</v>
      </c>
      <c r="C6" s="9">
        <v>45778</v>
      </c>
      <c r="D6" s="2">
        <v>349</v>
      </c>
      <c r="E6" s="2">
        <v>154</v>
      </c>
      <c r="F6" s="2">
        <v>349</v>
      </c>
      <c r="G6" s="2">
        <v>154</v>
      </c>
      <c r="H6" s="4">
        <f t="shared" si="0"/>
        <v>0.441260744985673</v>
      </c>
      <c r="I6" s="4">
        <f t="shared" si="1"/>
        <v>0.441260744985673</v>
      </c>
      <c r="J6" s="7">
        <f ca="1">F6-IFERROR(VLOOKUP($A6,'0505'!$A$1:'0505'!G$48,6,FALSE),IFERROR(VLOOKUP($C6,'0505'!$C$1:'0505'!G$48,4,FALSE),F6-D6))</f>
        <v>7</v>
      </c>
      <c r="K6" s="8">
        <f ca="1">G6-IFERROR(VLOOKUP($A6,'0505'!$A$1:'0505'!H$44,7,FALSE),IFERROR(VLOOKUP($C6,'0505'!$C$1:'0505'!H$44,5,FALSE),G6-E6))</f>
        <v>0</v>
      </c>
      <c r="L6" s="4">
        <f ca="1" t="shared" si="2"/>
        <v>0</v>
      </c>
    </row>
    <row r="7" s="2" customFormat="1" spans="1:12">
      <c r="A7" s="2" t="s">
        <v>9</v>
      </c>
      <c r="B7" s="2" t="s">
        <v>10</v>
      </c>
      <c r="C7" s="9">
        <v>45777</v>
      </c>
      <c r="D7" s="2">
        <v>214</v>
      </c>
      <c r="E7" s="2">
        <v>290</v>
      </c>
      <c r="F7" s="2">
        <v>214</v>
      </c>
      <c r="G7" s="2">
        <v>290</v>
      </c>
      <c r="H7" s="4">
        <f t="shared" si="0"/>
        <v>1.35514018691589</v>
      </c>
      <c r="I7" s="4">
        <f t="shared" si="1"/>
        <v>1.35514018691589</v>
      </c>
      <c r="J7" s="7">
        <f ca="1">F7-IFERROR(VLOOKUP($A7,'0505'!$A$1:'0505'!G$48,6,FALSE),IFERROR(VLOOKUP($C7,'0505'!$C$1:'0505'!G$48,4,FALSE),F7-D7))</f>
        <v>5</v>
      </c>
      <c r="K7" s="8">
        <f ca="1">G7-IFERROR(VLOOKUP($A7,'0505'!$A$1:'0505'!H$44,7,FALSE),IFERROR(VLOOKUP($C7,'0505'!$C$1:'0505'!H$44,5,FALSE),G7-E7))</f>
        <v>7</v>
      </c>
      <c r="L7" s="4">
        <f ca="1" t="shared" si="2"/>
        <v>1.4</v>
      </c>
    </row>
    <row r="8" s="2" customFormat="1" spans="1:13">
      <c r="A8" s="2" t="s">
        <v>11</v>
      </c>
      <c r="B8" s="2" t="s">
        <v>10</v>
      </c>
      <c r="C8" s="9">
        <v>45777</v>
      </c>
      <c r="D8" s="2">
        <v>119</v>
      </c>
      <c r="E8" s="2">
        <v>512</v>
      </c>
      <c r="F8" s="2">
        <v>119</v>
      </c>
      <c r="G8" s="2">
        <v>512</v>
      </c>
      <c r="H8" s="4">
        <f t="shared" si="0"/>
        <v>4.30252100840336</v>
      </c>
      <c r="I8" s="4">
        <f t="shared" si="1"/>
        <v>4.30252100840336</v>
      </c>
      <c r="J8" s="7">
        <f ca="1">F8-IFERROR(VLOOKUP($A8,'0505'!$A$1:'0505'!G$48,6,FALSE),IFERROR(VLOOKUP($C8,'0505'!$C$1:'0505'!G$48,4,FALSE),F8-D8))</f>
        <v>21</v>
      </c>
      <c r="K8" s="8">
        <f ca="1">G8-IFERROR(VLOOKUP($A8,'0505'!$A$1:'0505'!H$44,7,FALSE),IFERROR(VLOOKUP($C8,'0505'!$C$1:'0505'!H$44,5,FALSE),G8-E8))</f>
        <v>194</v>
      </c>
      <c r="L8" s="4">
        <f ca="1" t="shared" si="2"/>
        <v>9.23809523809524</v>
      </c>
      <c r="M8" s="2" t="s">
        <v>67</v>
      </c>
    </row>
    <row r="9" s="2" customFormat="1" spans="1:12">
      <c r="A9" s="2" t="s">
        <v>12</v>
      </c>
      <c r="B9" s="2" t="s">
        <v>10</v>
      </c>
      <c r="C9" s="9">
        <v>45776</v>
      </c>
      <c r="D9" s="2">
        <v>619</v>
      </c>
      <c r="E9" s="2">
        <v>393</v>
      </c>
      <c r="F9" s="2">
        <v>619</v>
      </c>
      <c r="G9" s="2">
        <v>393</v>
      </c>
      <c r="H9" s="4">
        <f t="shared" si="0"/>
        <v>0.634894991922456</v>
      </c>
      <c r="I9" s="4">
        <f t="shared" si="1"/>
        <v>0.634894991922456</v>
      </c>
      <c r="J9" s="7">
        <f ca="1">F9-IFERROR(VLOOKUP($A9,'0505'!$A$1:'0505'!G$48,6,FALSE),IFERROR(VLOOKUP($C9,'0505'!$C$1:'0505'!G$48,4,FALSE),F9-D9))</f>
        <v>13</v>
      </c>
      <c r="K9" s="8">
        <f ca="1">G9-IFERROR(VLOOKUP($A9,'0505'!$A$1:'0505'!H$44,7,FALSE),IFERROR(VLOOKUP($C9,'0505'!$C$1:'0505'!H$44,5,FALSE),G9-E9))</f>
        <v>0</v>
      </c>
      <c r="L9" s="4">
        <f ca="1" t="shared" si="2"/>
        <v>0</v>
      </c>
    </row>
    <row r="10" s="2" customFormat="1" spans="1:12">
      <c r="A10" s="2" t="s">
        <v>13</v>
      </c>
      <c r="B10" s="2" t="s">
        <v>10</v>
      </c>
      <c r="C10" s="9">
        <v>45775</v>
      </c>
      <c r="D10" s="2">
        <v>122</v>
      </c>
      <c r="E10" s="2">
        <v>197</v>
      </c>
      <c r="F10" s="2">
        <v>240</v>
      </c>
      <c r="G10" s="2">
        <v>311</v>
      </c>
      <c r="H10" s="4">
        <f t="shared" si="0"/>
        <v>1.61475409836066</v>
      </c>
      <c r="I10" s="4">
        <f t="shared" si="1"/>
        <v>1.29583333333333</v>
      </c>
      <c r="J10" s="7">
        <f ca="1">F10-IFERROR(VLOOKUP($A10,'0505'!$A$1:'0505'!G$48,6,FALSE),IFERROR(VLOOKUP($C10,'0505'!$C$1:'0505'!G$48,4,FALSE),F10-D10))</f>
        <v>1</v>
      </c>
      <c r="K10" s="8">
        <f ca="1">G10-IFERROR(VLOOKUP($A10,'0505'!$A$1:'0505'!H$44,7,FALSE),IFERROR(VLOOKUP($C10,'0505'!$C$1:'0505'!H$44,5,FALSE),G10-E10))</f>
        <v>0</v>
      </c>
      <c r="L10" s="4">
        <f ca="1" t="shared" si="2"/>
        <v>0</v>
      </c>
    </row>
    <row r="11" s="2" customFormat="1" spans="1:12">
      <c r="A11" s="2" t="s">
        <v>14</v>
      </c>
      <c r="B11" s="2" t="s">
        <v>10</v>
      </c>
      <c r="C11" s="9">
        <v>45775</v>
      </c>
      <c r="D11" s="2">
        <v>45</v>
      </c>
      <c r="E11" s="2">
        <v>49</v>
      </c>
      <c r="F11" s="2">
        <v>136</v>
      </c>
      <c r="G11" s="2">
        <v>304</v>
      </c>
      <c r="H11" s="4">
        <f t="shared" si="0"/>
        <v>1.08888888888889</v>
      </c>
      <c r="I11" s="4">
        <f t="shared" si="1"/>
        <v>2.23529411764706</v>
      </c>
      <c r="J11" s="7">
        <f ca="1">F11-IFERROR(VLOOKUP($A11,'0505'!$A$1:'0505'!G$48,6,FALSE),IFERROR(VLOOKUP($C11,'0505'!$C$1:'0505'!G$48,4,FALSE),F11-D11))</f>
        <v>0</v>
      </c>
      <c r="K11" s="8">
        <f ca="1">G11-IFERROR(VLOOKUP($A11,'0505'!$A$1:'0505'!H$44,7,FALSE),IFERROR(VLOOKUP($C11,'0505'!$C$1:'0505'!H$44,5,FALSE),G11-E11))</f>
        <v>0</v>
      </c>
      <c r="L11" s="4">
        <f ca="1" t="shared" si="2"/>
        <v>0</v>
      </c>
    </row>
    <row r="12" s="2" customFormat="1" spans="1:12">
      <c r="A12" s="2" t="s">
        <v>15</v>
      </c>
      <c r="B12" s="2" t="s">
        <v>10</v>
      </c>
      <c r="C12" s="9">
        <v>45774</v>
      </c>
      <c r="D12" s="2">
        <v>18</v>
      </c>
      <c r="E12" s="2">
        <v>12</v>
      </c>
      <c r="F12" s="2">
        <v>140</v>
      </c>
      <c r="G12" s="2">
        <v>216</v>
      </c>
      <c r="H12" s="4">
        <f t="shared" si="0"/>
        <v>0.666666666666667</v>
      </c>
      <c r="I12" s="4">
        <f t="shared" si="1"/>
        <v>1.54285714285714</v>
      </c>
      <c r="J12" s="7">
        <f ca="1">F12-IFERROR(VLOOKUP($A12,'0505'!$A$1:'0505'!G$48,6,FALSE),IFERROR(VLOOKUP($C12,'0505'!$C$1:'0505'!G$48,4,FALSE),F12-D12))</f>
        <v>0</v>
      </c>
      <c r="K12" s="8">
        <f ca="1">G12-IFERROR(VLOOKUP($A12,'0505'!$A$1:'0505'!H$44,7,FALSE),IFERROR(VLOOKUP($C12,'0505'!$C$1:'0505'!H$44,5,FALSE),G12-E12))</f>
        <v>0</v>
      </c>
      <c r="L12" s="4">
        <f ca="1" t="shared" si="2"/>
        <v>0</v>
      </c>
    </row>
    <row r="13" s="2" customFormat="1" spans="1:12">
      <c r="A13" s="2" t="s">
        <v>16</v>
      </c>
      <c r="B13" s="2" t="s">
        <v>10</v>
      </c>
      <c r="C13" s="9">
        <v>45774</v>
      </c>
      <c r="D13" s="2">
        <v>94</v>
      </c>
      <c r="E13" s="2">
        <v>162</v>
      </c>
      <c r="F13" s="2">
        <v>404</v>
      </c>
      <c r="G13" s="2">
        <v>371</v>
      </c>
      <c r="H13" s="4">
        <f t="shared" si="0"/>
        <v>1.72340425531915</v>
      </c>
      <c r="I13" s="4">
        <f t="shared" si="1"/>
        <v>0.918316831683168</v>
      </c>
      <c r="J13" s="7">
        <f ca="1">F13-IFERROR(VLOOKUP($A13,'0505'!$A$1:'0505'!G$48,6,FALSE),IFERROR(VLOOKUP($C13,'0505'!$C$1:'0505'!G$48,4,FALSE),F13-D13))</f>
        <v>8</v>
      </c>
      <c r="K13" s="8">
        <f ca="1">G13-IFERROR(VLOOKUP($A13,'0505'!$A$1:'0505'!H$44,7,FALSE),IFERROR(VLOOKUP($C13,'0505'!$C$1:'0505'!H$44,5,FALSE),G13-E13))</f>
        <v>0</v>
      </c>
      <c r="L13" s="4">
        <f ca="1" t="shared" si="2"/>
        <v>0</v>
      </c>
    </row>
    <row r="14" s="2" customFormat="1" spans="1:12">
      <c r="A14" s="2" t="s">
        <v>17</v>
      </c>
      <c r="B14" s="2" t="s">
        <v>10</v>
      </c>
      <c r="C14" s="9">
        <v>45773</v>
      </c>
      <c r="D14" s="2">
        <v>36</v>
      </c>
      <c r="E14" s="2">
        <v>16</v>
      </c>
      <c r="F14" s="2">
        <v>142</v>
      </c>
      <c r="G14" s="2">
        <v>190</v>
      </c>
      <c r="H14" s="4">
        <f t="shared" si="0"/>
        <v>0.444444444444444</v>
      </c>
      <c r="I14" s="4">
        <f t="shared" si="1"/>
        <v>1.33802816901408</v>
      </c>
      <c r="J14" s="7">
        <f ca="1">F14-IFERROR(VLOOKUP($A14,'0505'!$A$1:'0505'!G$48,6,FALSE),IFERROR(VLOOKUP($C14,'0505'!$C$1:'0505'!G$48,4,FALSE),F14-D14))</f>
        <v>0</v>
      </c>
      <c r="K14" s="8">
        <f ca="1">G14-IFERROR(VLOOKUP($A14,'0505'!$A$1:'0505'!H$44,7,FALSE),IFERROR(VLOOKUP($C14,'0505'!$C$1:'0505'!H$44,5,FALSE),G14-E14))</f>
        <v>0</v>
      </c>
      <c r="L14" s="4">
        <f ca="1" t="shared" si="2"/>
        <v>0</v>
      </c>
    </row>
    <row r="15" s="2" customFormat="1" spans="1:12">
      <c r="A15" s="2" t="s">
        <v>18</v>
      </c>
      <c r="B15" s="2" t="s">
        <v>10</v>
      </c>
      <c r="C15" s="9">
        <v>45773</v>
      </c>
      <c r="D15" s="2">
        <v>24</v>
      </c>
      <c r="E15" s="2">
        <v>18</v>
      </c>
      <c r="F15" s="2">
        <v>225</v>
      </c>
      <c r="G15" s="2">
        <v>247</v>
      </c>
      <c r="H15" s="4">
        <f t="shared" si="0"/>
        <v>0.75</v>
      </c>
      <c r="I15" s="4">
        <f t="shared" si="1"/>
        <v>1.09777777777778</v>
      </c>
      <c r="J15" s="7">
        <f ca="1">F15-IFERROR(VLOOKUP($A15,'0505'!$A$1:'0505'!G$48,6,FALSE),IFERROR(VLOOKUP($C15,'0505'!$C$1:'0505'!G$48,4,FALSE),F15-D15))</f>
        <v>0</v>
      </c>
      <c r="K15" s="8">
        <f ca="1">G15-IFERROR(VLOOKUP($A15,'0505'!$A$1:'0505'!H$44,7,FALSE),IFERROR(VLOOKUP($C15,'0505'!$C$1:'0505'!H$44,5,FALSE),G15-E15))</f>
        <v>0</v>
      </c>
      <c r="L15" s="4">
        <f ca="1" t="shared" si="2"/>
        <v>0</v>
      </c>
    </row>
    <row r="16" s="2" customFormat="1" spans="1:13">
      <c r="A16" s="2" t="s">
        <v>19</v>
      </c>
      <c r="B16" s="2" t="s">
        <v>10</v>
      </c>
      <c r="C16" s="9">
        <v>45772</v>
      </c>
      <c r="D16" s="2">
        <v>105</v>
      </c>
      <c r="E16" s="2">
        <v>279</v>
      </c>
      <c r="F16" s="2">
        <v>198</v>
      </c>
      <c r="G16" s="2">
        <v>612</v>
      </c>
      <c r="H16" s="4">
        <f t="shared" si="0"/>
        <v>2.65714285714286</v>
      </c>
      <c r="I16" s="4">
        <f t="shared" si="1"/>
        <v>3.09090909090909</v>
      </c>
      <c r="J16" s="7">
        <f ca="1">F16-IFERROR(VLOOKUP($A16,'0505'!$A$1:'0505'!G$48,6,FALSE),IFERROR(VLOOKUP($C16,'0505'!$C$1:'0505'!G$48,4,FALSE),F16-D16))</f>
        <v>0</v>
      </c>
      <c r="K16" s="8">
        <f ca="1">G16-IFERROR(VLOOKUP($A16,'0505'!$A$1:'0505'!H$44,7,FALSE),IFERROR(VLOOKUP($C16,'0505'!$C$1:'0505'!H$44,5,FALSE),G16-E16))</f>
        <v>0</v>
      </c>
      <c r="L16" s="4">
        <f ca="1" t="shared" si="2"/>
        <v>0</v>
      </c>
      <c r="M16" s="2" t="s">
        <v>20</v>
      </c>
    </row>
    <row r="17" s="2" customFormat="1" spans="1:12">
      <c r="A17" s="2" t="s">
        <v>21</v>
      </c>
      <c r="B17" s="2" t="s">
        <v>10</v>
      </c>
      <c r="C17" s="9">
        <v>45771</v>
      </c>
      <c r="D17" s="2">
        <v>22</v>
      </c>
      <c r="E17" s="2">
        <v>18</v>
      </c>
      <c r="F17" s="2">
        <v>192</v>
      </c>
      <c r="G17" s="2">
        <v>183</v>
      </c>
      <c r="H17" s="4">
        <f t="shared" si="0"/>
        <v>0.818181818181818</v>
      </c>
      <c r="I17" s="4">
        <f t="shared" si="1"/>
        <v>0.953125</v>
      </c>
      <c r="J17" s="7">
        <f ca="1">F17-IFERROR(VLOOKUP($A17,'0505'!$A$1:'0505'!G$48,6,FALSE),IFERROR(VLOOKUP($C17,'0505'!$C$1:'0505'!G$48,4,FALSE),F17-D17))</f>
        <v>1</v>
      </c>
      <c r="K17" s="8">
        <f ca="1">G17-IFERROR(VLOOKUP($A17,'0505'!$A$1:'0505'!H$44,7,FALSE),IFERROR(VLOOKUP($C17,'0505'!$C$1:'0505'!H$44,5,FALSE),G17-E17))</f>
        <v>0</v>
      </c>
      <c r="L17" s="4">
        <f ca="1" t="shared" si="2"/>
        <v>0</v>
      </c>
    </row>
    <row r="18" s="2" customFormat="1" spans="1:12">
      <c r="A18" s="2" t="s">
        <v>22</v>
      </c>
      <c r="B18" s="2" t="s">
        <v>10</v>
      </c>
      <c r="C18" s="9">
        <v>45771</v>
      </c>
      <c r="D18" s="2">
        <v>51</v>
      </c>
      <c r="E18" s="2">
        <v>12</v>
      </c>
      <c r="F18" s="2">
        <v>180</v>
      </c>
      <c r="G18" s="2">
        <v>125</v>
      </c>
      <c r="H18" s="4">
        <f t="shared" si="0"/>
        <v>0.235294117647059</v>
      </c>
      <c r="I18" s="4">
        <f t="shared" si="1"/>
        <v>0.694444444444444</v>
      </c>
      <c r="J18" s="7">
        <f ca="1">F18-IFERROR(VLOOKUP($A18,'0505'!$A$1:'0505'!G$48,6,FALSE),IFERROR(VLOOKUP($C18,'0505'!$C$1:'0505'!G$48,4,FALSE),F18-D18))</f>
        <v>7</v>
      </c>
      <c r="K18" s="8">
        <f ca="1">G18-IFERROR(VLOOKUP($A18,'0505'!$A$1:'0505'!H$44,7,FALSE),IFERROR(VLOOKUP($C18,'0505'!$C$1:'0505'!H$44,5,FALSE),G18-E18))</f>
        <v>0</v>
      </c>
      <c r="L18" s="4">
        <f ca="1" t="shared" si="2"/>
        <v>0</v>
      </c>
    </row>
    <row r="19" s="2" customFormat="1" spans="1:13">
      <c r="A19" s="2" t="s">
        <v>23</v>
      </c>
      <c r="B19" s="2" t="s">
        <v>10</v>
      </c>
      <c r="C19" s="9">
        <v>45770</v>
      </c>
      <c r="D19" s="2">
        <v>59</v>
      </c>
      <c r="E19" s="2">
        <v>47</v>
      </c>
      <c r="F19" s="2">
        <v>228</v>
      </c>
      <c r="G19" s="2">
        <v>685</v>
      </c>
      <c r="H19" s="4">
        <f t="shared" si="0"/>
        <v>0.796610169491525</v>
      </c>
      <c r="I19" s="4">
        <f t="shared" si="1"/>
        <v>3.00438596491228</v>
      </c>
      <c r="J19" s="7">
        <f ca="1">F19-IFERROR(VLOOKUP($A19,'0505'!$A$1:'0505'!G$48,6,FALSE),IFERROR(VLOOKUP($C19,'0505'!$C$1:'0505'!G$48,4,FALSE),F19-D19))</f>
        <v>3</v>
      </c>
      <c r="K19" s="8">
        <f ca="1">G19-IFERROR(VLOOKUP($A19,'0505'!$A$1:'0505'!H$44,7,FALSE),IFERROR(VLOOKUP($C19,'0505'!$C$1:'0505'!H$44,5,FALSE),G19-E19))</f>
        <v>0</v>
      </c>
      <c r="L19" s="4">
        <f ca="1" t="shared" si="2"/>
        <v>0</v>
      </c>
      <c r="M19" s="2" t="s">
        <v>24</v>
      </c>
    </row>
    <row r="20" s="2" customFormat="1" spans="1:12">
      <c r="A20" s="2" t="s">
        <v>28</v>
      </c>
      <c r="B20" s="2" t="s">
        <v>10</v>
      </c>
      <c r="C20" s="9">
        <v>45768</v>
      </c>
      <c r="D20" s="2">
        <v>4</v>
      </c>
      <c r="E20" s="2">
        <v>6</v>
      </c>
      <c r="F20" s="2">
        <v>216</v>
      </c>
      <c r="G20" s="2">
        <v>603</v>
      </c>
      <c r="H20" s="4">
        <f t="shared" si="0"/>
        <v>1.5</v>
      </c>
      <c r="I20" s="4">
        <f t="shared" si="1"/>
        <v>2.79166666666667</v>
      </c>
      <c r="J20" s="7">
        <f ca="1">F20-IFERROR(VLOOKUP($A20,'0505'!$A$1:'0505'!G$48,6,FALSE),IFERROR(VLOOKUP($C20,'0505'!$C$1:'0505'!G$48,4,FALSE),F20-D20))</f>
        <v>0</v>
      </c>
      <c r="K20" s="8">
        <f ca="1">G20-IFERROR(VLOOKUP($A20,'0505'!$A$1:'0505'!H$44,7,FALSE),IFERROR(VLOOKUP($C20,'0505'!$C$1:'0505'!H$44,5,FALSE),G20-E20))</f>
        <v>0</v>
      </c>
      <c r="L20" s="4">
        <f ca="1" t="shared" si="2"/>
        <v>0</v>
      </c>
    </row>
    <row r="21" s="2" customFormat="1" spans="1:12">
      <c r="A21" s="2" t="s">
        <v>34</v>
      </c>
      <c r="B21" s="2" t="s">
        <v>10</v>
      </c>
      <c r="C21" s="9">
        <v>45765</v>
      </c>
      <c r="D21" s="2">
        <v>6</v>
      </c>
      <c r="E21" s="2">
        <v>6</v>
      </c>
      <c r="F21" s="2">
        <v>404</v>
      </c>
      <c r="G21" s="2">
        <v>452</v>
      </c>
      <c r="H21" s="4">
        <f t="shared" si="0"/>
        <v>1</v>
      </c>
      <c r="I21" s="4">
        <f t="shared" si="1"/>
        <v>1.11881188118812</v>
      </c>
      <c r="J21" s="7">
        <f ca="1">F21-IFERROR(VLOOKUP($A21,'0505'!$A$1:'0505'!G$48,6,FALSE),IFERROR(VLOOKUP($C21,'0505'!$C$1:'0505'!G$48,4,FALSE),F21-D21))</f>
        <v>3</v>
      </c>
      <c r="K21" s="8">
        <f ca="1">G21-IFERROR(VLOOKUP($A21,'0505'!$A$1:'0505'!H$44,7,FALSE),IFERROR(VLOOKUP($C21,'0505'!$C$1:'0505'!H$44,5,FALSE),G21-E21))</f>
        <v>0</v>
      </c>
      <c r="L21" s="4">
        <f ca="1" t="shared" si="2"/>
        <v>0</v>
      </c>
    </row>
    <row r="22" s="2" customFormat="1" spans="1:12">
      <c r="A22" s="2" t="s">
        <v>38</v>
      </c>
      <c r="B22" s="2" t="s">
        <v>10</v>
      </c>
      <c r="C22" s="9">
        <v>45764</v>
      </c>
      <c r="D22" s="2">
        <v>62</v>
      </c>
      <c r="E22" s="2">
        <v>28</v>
      </c>
      <c r="F22" s="2">
        <v>381</v>
      </c>
      <c r="G22" s="2">
        <v>282</v>
      </c>
      <c r="H22" s="4">
        <f t="shared" si="0"/>
        <v>0.451612903225806</v>
      </c>
      <c r="I22" s="4">
        <f t="shared" si="1"/>
        <v>0.740157480314961</v>
      </c>
      <c r="J22" s="7">
        <f ca="1">F22-IFERROR(VLOOKUP($A22,'0505'!$A$1:'0505'!G$48,6,FALSE),IFERROR(VLOOKUP($C22,'0505'!$C$1:'0505'!G$48,4,FALSE),F22-D22))</f>
        <v>9</v>
      </c>
      <c r="K22" s="8">
        <f ca="1">G22-IFERROR(VLOOKUP($A22,'0505'!$A$1:'0505'!H$44,7,FALSE),IFERROR(VLOOKUP($C22,'0505'!$C$1:'0505'!H$44,5,FALSE),G22-E22))</f>
        <v>7</v>
      </c>
      <c r="L22" s="4">
        <f ca="1" t="shared" si="2"/>
        <v>0.777777777777778</v>
      </c>
    </row>
    <row r="23" s="2" customFormat="1" spans="1:13">
      <c r="A23" s="2" t="s">
        <v>40</v>
      </c>
      <c r="B23" s="2" t="s">
        <v>10</v>
      </c>
      <c r="C23" s="9">
        <v>45763</v>
      </c>
      <c r="D23" s="2">
        <v>1</v>
      </c>
      <c r="E23" s="2">
        <v>4</v>
      </c>
      <c r="F23" s="2">
        <v>130</v>
      </c>
      <c r="G23" s="2">
        <v>198</v>
      </c>
      <c r="H23" s="4">
        <f t="shared" si="0"/>
        <v>4</v>
      </c>
      <c r="I23" s="4">
        <f t="shared" si="1"/>
        <v>1.52307692307692</v>
      </c>
      <c r="J23" s="7">
        <f ca="1">F23-IFERROR(VLOOKUP($A23,'0505'!$A$1:'0505'!G$48,6,FALSE),IFERROR(VLOOKUP($C23,'0505'!$C$1:'0505'!G$48,4,FALSE),F23-D23))</f>
        <v>0</v>
      </c>
      <c r="K23" s="8">
        <f ca="1">G23-IFERROR(VLOOKUP($A23,'0505'!$A$1:'0505'!H$44,7,FALSE),IFERROR(VLOOKUP($C23,'0505'!$C$1:'0505'!H$44,5,FALSE),G23-E23))</f>
        <v>0</v>
      </c>
      <c r="L23" s="4">
        <f ca="1" t="shared" si="2"/>
        <v>0</v>
      </c>
      <c r="M23" s="2" t="s">
        <v>41</v>
      </c>
    </row>
    <row r="24" s="2" customFormat="1" spans="1:13">
      <c r="A24" s="2" t="s">
        <v>42</v>
      </c>
      <c r="B24" s="2" t="s">
        <v>10</v>
      </c>
      <c r="C24" s="9">
        <v>45762</v>
      </c>
      <c r="D24" s="2">
        <v>9</v>
      </c>
      <c r="E24" s="2">
        <v>6</v>
      </c>
      <c r="F24" s="2">
        <v>603</v>
      </c>
      <c r="G24" s="2">
        <v>641</v>
      </c>
      <c r="H24" s="4">
        <f t="shared" si="0"/>
        <v>0.666666666666667</v>
      </c>
      <c r="I24" s="4">
        <f t="shared" si="1"/>
        <v>1.06301824212272</v>
      </c>
      <c r="J24" s="7">
        <f ca="1">F24-IFERROR(VLOOKUP($A24,'0505'!$A$1:'0505'!G$48,6,FALSE),IFERROR(VLOOKUP($C24,'0505'!$C$1:'0505'!G$48,4,FALSE),F24-D24))</f>
        <v>0</v>
      </c>
      <c r="K24" s="8">
        <f ca="1">G24-IFERROR(VLOOKUP($A24,'0505'!$A$1:'0505'!H$44,7,FALSE),IFERROR(VLOOKUP($C24,'0505'!$C$1:'0505'!H$44,5,FALSE),G24-E24))</f>
        <v>0</v>
      </c>
      <c r="L24" s="4">
        <f ca="1" t="shared" si="2"/>
        <v>0</v>
      </c>
      <c r="M24" s="2" t="s">
        <v>43</v>
      </c>
    </row>
    <row r="25" s="2" customFormat="1" spans="1:13">
      <c r="A25" s="2" t="s">
        <v>44</v>
      </c>
      <c r="B25" s="2" t="s">
        <v>10</v>
      </c>
      <c r="C25" s="9">
        <v>45761</v>
      </c>
      <c r="D25" s="2">
        <v>13</v>
      </c>
      <c r="E25" s="2">
        <v>12</v>
      </c>
      <c r="F25" s="2">
        <v>1057</v>
      </c>
      <c r="G25" s="2">
        <v>919</v>
      </c>
      <c r="H25" s="4">
        <f t="shared" si="0"/>
        <v>0.923076923076923</v>
      </c>
      <c r="I25" s="4">
        <f t="shared" si="1"/>
        <v>0.869441816461684</v>
      </c>
      <c r="J25" s="7">
        <f ca="1">F25-IFERROR(VLOOKUP($A25,'0505'!$A$1:'0505'!G$48,6,FALSE),IFERROR(VLOOKUP($C25,'0505'!$C$1:'0505'!G$48,4,FALSE),F25-D25))</f>
        <v>0</v>
      </c>
      <c r="K25" s="8">
        <f ca="1">G25-IFERROR(VLOOKUP($A25,'0505'!$A$1:'0505'!H$44,7,FALSE),IFERROR(VLOOKUP($C25,'0505'!$C$1:'0505'!H$44,5,FALSE),G25-E25))</f>
        <v>0</v>
      </c>
      <c r="L25" s="4">
        <f ca="1" t="shared" si="2"/>
        <v>0</v>
      </c>
      <c r="M25" s="2" t="s">
        <v>45</v>
      </c>
    </row>
    <row r="26" s="2" customFormat="1" spans="1:13">
      <c r="A26" s="2" t="s">
        <v>73</v>
      </c>
      <c r="B26" s="2" t="s">
        <v>10</v>
      </c>
      <c r="C26" s="9">
        <v>45755</v>
      </c>
      <c r="D26" s="2">
        <v>7</v>
      </c>
      <c r="E26" s="2">
        <v>6</v>
      </c>
      <c r="F26" s="2">
        <v>442</v>
      </c>
      <c r="G26" s="2">
        <v>511</v>
      </c>
      <c r="H26" s="4">
        <f t="shared" si="0"/>
        <v>0.857142857142857</v>
      </c>
      <c r="I26" s="4">
        <f t="shared" si="1"/>
        <v>1.15610859728507</v>
      </c>
      <c r="J26" s="7">
        <f ca="1">F26-IFERROR(VLOOKUP($A26,'0505'!$A$1:'0505'!G$48,6,FALSE),IFERROR(VLOOKUP($C26,'0505'!$C$1:'0505'!G$48,4,FALSE),F26-D26))</f>
        <v>2</v>
      </c>
      <c r="K26" s="8">
        <f ca="1">G26-IFERROR(VLOOKUP($A26,'0505'!$A$1:'0505'!H$44,7,FALSE),IFERROR(VLOOKUP($C26,'0505'!$C$1:'0505'!H$44,5,FALSE),G26-E26))</f>
        <v>0</v>
      </c>
      <c r="L26" s="4">
        <f ca="1" t="shared" si="2"/>
        <v>0</v>
      </c>
      <c r="M26" s="2" t="s">
        <v>74</v>
      </c>
    </row>
    <row r="27" s="2" customFormat="1" spans="1:13">
      <c r="A27" s="2" t="s">
        <v>70</v>
      </c>
      <c r="B27" s="2" t="s">
        <v>10</v>
      </c>
      <c r="C27" s="9">
        <v>45751</v>
      </c>
      <c r="D27" s="2">
        <v>22</v>
      </c>
      <c r="E27" s="2">
        <v>8</v>
      </c>
      <c r="F27" s="2">
        <v>173</v>
      </c>
      <c r="G27" s="2">
        <v>266</v>
      </c>
      <c r="H27" s="4">
        <f t="shared" si="0"/>
        <v>0.363636363636364</v>
      </c>
      <c r="I27" s="4">
        <f t="shared" si="1"/>
        <v>1.53757225433526</v>
      </c>
      <c r="J27" s="7">
        <f ca="1">F27-IFERROR(VLOOKUP($A27,'0505'!$A$1:'0505'!G$48,6,FALSE),IFERROR(VLOOKUP($C27,'0505'!$C$1:'0505'!G$48,4,FALSE),F27-D27))</f>
        <v>8</v>
      </c>
      <c r="K27" s="8">
        <f ca="1">G27-IFERROR(VLOOKUP($A27,'0505'!$A$1:'0505'!H$44,7,FALSE),IFERROR(VLOOKUP($C27,'0505'!$C$1:'0505'!H$44,5,FALSE),G27-E27))</f>
        <v>0</v>
      </c>
      <c r="L27" s="4">
        <f ca="1" t="shared" si="2"/>
        <v>0</v>
      </c>
      <c r="M27" s="2" t="s">
        <v>71</v>
      </c>
    </row>
    <row r="28" s="2" customFormat="1" spans="1:13">
      <c r="A28" s="2" t="s">
        <v>48</v>
      </c>
      <c r="B28" s="2" t="s">
        <v>10</v>
      </c>
      <c r="C28" s="9">
        <v>45750</v>
      </c>
      <c r="D28" s="2">
        <v>6</v>
      </c>
      <c r="E28" s="2">
        <v>12</v>
      </c>
      <c r="F28" s="2">
        <v>229</v>
      </c>
      <c r="G28" s="2">
        <v>542</v>
      </c>
      <c r="H28" s="4">
        <f t="shared" si="0"/>
        <v>2</v>
      </c>
      <c r="I28" s="4">
        <f t="shared" si="1"/>
        <v>2.36681222707424</v>
      </c>
      <c r="J28" s="7">
        <f ca="1">F28-IFERROR(VLOOKUP($A28,'0505'!$A$1:'0505'!G$48,6,FALSE),IFERROR(VLOOKUP($C28,'0505'!$C$1:'0505'!G$48,4,FALSE),F28-D28))</f>
        <v>0</v>
      </c>
      <c r="K28" s="8">
        <f ca="1">G28-IFERROR(VLOOKUP($A28,'0505'!$A$1:'0505'!H$44,7,FALSE),IFERROR(VLOOKUP($C28,'0505'!$C$1:'0505'!H$44,5,FALSE),G28-E28))</f>
        <v>0</v>
      </c>
      <c r="L28" s="4">
        <f ca="1" t="shared" si="2"/>
        <v>0</v>
      </c>
      <c r="M28" s="2" t="s">
        <v>49</v>
      </c>
    </row>
    <row r="29" s="2" customFormat="1" spans="1:13">
      <c r="A29" s="2" t="s">
        <v>50</v>
      </c>
      <c r="B29" s="2" t="s">
        <v>10</v>
      </c>
      <c r="C29" s="9">
        <v>45748</v>
      </c>
      <c r="D29" s="2">
        <v>39</v>
      </c>
      <c r="E29" s="2">
        <v>5</v>
      </c>
      <c r="F29" s="2">
        <v>224490</v>
      </c>
      <c r="G29" s="2">
        <v>10598</v>
      </c>
      <c r="H29" s="4">
        <f t="shared" si="0"/>
        <v>0.128205128205128</v>
      </c>
      <c r="I29" s="4">
        <f t="shared" si="1"/>
        <v>0.0472092298097911</v>
      </c>
      <c r="J29" s="7">
        <f ca="1">F29-IFERROR(VLOOKUP($A29,'0505'!$A$1:'0505'!G$48,6,FALSE),IFERROR(VLOOKUP($C29,'0505'!$C$1:'0505'!G$48,4,FALSE),F29-D29))</f>
        <v>39</v>
      </c>
      <c r="K29" s="8">
        <f ca="1">G29-IFERROR(VLOOKUP($A29,'0505'!$A$1:'0505'!H$44,7,FALSE),IFERROR(VLOOKUP($C29,'0505'!$C$1:'0505'!H$44,5,FALSE),G29-E29))</f>
        <v>5</v>
      </c>
      <c r="L29" s="4">
        <f ca="1" t="shared" si="2"/>
        <v>0.128205128205128</v>
      </c>
      <c r="M29" s="2" t="s">
        <v>78</v>
      </c>
    </row>
    <row r="30" s="2" customFormat="1" spans="1:13">
      <c r="A30" s="2" t="s">
        <v>52</v>
      </c>
      <c r="B30" s="2" t="s">
        <v>10</v>
      </c>
      <c r="C30" s="9">
        <v>45743</v>
      </c>
      <c r="D30" s="2">
        <v>64</v>
      </c>
      <c r="E30" s="2">
        <v>20</v>
      </c>
      <c r="F30" s="2">
        <v>4916</v>
      </c>
      <c r="G30" s="2">
        <v>1996</v>
      </c>
      <c r="H30" s="4">
        <f t="shared" si="0"/>
        <v>0.3125</v>
      </c>
      <c r="I30" s="4">
        <f t="shared" si="1"/>
        <v>0.406021155410903</v>
      </c>
      <c r="J30" s="7">
        <f ca="1">F30-IFERROR(VLOOKUP($A30,'0505'!$A$1:'0505'!G$48,6,FALSE),IFERROR(VLOOKUP($C30,'0505'!$C$1:'0505'!G$48,4,FALSE),F30-D30))</f>
        <v>4</v>
      </c>
      <c r="K30" s="8">
        <f ca="1">G30-IFERROR(VLOOKUP($A30,'0505'!$A$1:'0505'!H$44,7,FALSE),IFERROR(VLOOKUP($C30,'0505'!$C$1:'0505'!H$44,5,FALSE),G30-E30))</f>
        <v>0</v>
      </c>
      <c r="L30" s="4">
        <f ca="1" t="shared" si="2"/>
        <v>0</v>
      </c>
      <c r="M30" s="2" t="s">
        <v>53</v>
      </c>
    </row>
    <row r="31" s="2" customFormat="1" spans="1:13">
      <c r="A31" s="2" t="s">
        <v>54</v>
      </c>
      <c r="B31" s="2" t="s">
        <v>10</v>
      </c>
      <c r="C31" s="9">
        <v>45741</v>
      </c>
      <c r="D31" s="2">
        <v>87</v>
      </c>
      <c r="E31" s="2">
        <v>10</v>
      </c>
      <c r="F31" s="2">
        <v>1249</v>
      </c>
      <c r="G31" s="2">
        <v>687</v>
      </c>
      <c r="H31" s="4">
        <f t="shared" si="0"/>
        <v>0.114942528735632</v>
      </c>
      <c r="I31" s="4">
        <f t="shared" si="1"/>
        <v>0.55004003202562</v>
      </c>
      <c r="J31" s="7">
        <f ca="1">F31-IFERROR(VLOOKUP($A31,'0505'!$A$1:'0505'!G$48,6,FALSE),IFERROR(VLOOKUP($C31,'0505'!$C$1:'0505'!G$48,4,FALSE),F31-D31))</f>
        <v>12</v>
      </c>
      <c r="K31" s="8">
        <f ca="1">G31-IFERROR(VLOOKUP($A31,'0505'!$A$1:'0505'!H$44,7,FALSE),IFERROR(VLOOKUP($C31,'0505'!$C$1:'0505'!H$44,5,FALSE),G31-E31))</f>
        <v>0</v>
      </c>
      <c r="L31" s="4">
        <f ca="1" t="shared" si="2"/>
        <v>0</v>
      </c>
      <c r="M31" s="13" t="s">
        <v>55</v>
      </c>
    </row>
    <row r="32" s="2" customFormat="1" spans="1:13">
      <c r="A32" s="2" t="s">
        <v>56</v>
      </c>
      <c r="B32" s="2" t="s">
        <v>10</v>
      </c>
      <c r="C32" s="9">
        <v>45734</v>
      </c>
      <c r="D32" s="2">
        <v>22</v>
      </c>
      <c r="E32" s="2">
        <v>5</v>
      </c>
      <c r="F32" s="2">
        <v>504</v>
      </c>
      <c r="G32" s="2">
        <v>675</v>
      </c>
      <c r="H32" s="4">
        <f t="shared" si="0"/>
        <v>0.227272727272727</v>
      </c>
      <c r="I32" s="4">
        <f t="shared" si="1"/>
        <v>1.33928571428571</v>
      </c>
      <c r="J32" s="7">
        <f ca="1">F32-IFERROR(VLOOKUP($A32,'0505'!$A$1:'0505'!G$48,6,FALSE),IFERROR(VLOOKUP($C32,'0505'!$C$1:'0505'!G$48,4,FALSE),F32-D32))</f>
        <v>22</v>
      </c>
      <c r="K32" s="8">
        <f ca="1">G32-IFERROR(VLOOKUP($A32,'0505'!$A$1:'0505'!H$44,7,FALSE),IFERROR(VLOOKUP($C32,'0505'!$C$1:'0505'!H$44,5,FALSE),G32-E32))</f>
        <v>5</v>
      </c>
      <c r="L32" s="4">
        <f ca="1" t="shared" si="2"/>
        <v>0.227272727272727</v>
      </c>
      <c r="M32" s="2" t="s">
        <v>79</v>
      </c>
    </row>
    <row r="33" s="2" customFormat="1" spans="1:13">
      <c r="A33" s="2" t="s">
        <v>75</v>
      </c>
      <c r="B33" s="2" t="s">
        <v>10</v>
      </c>
      <c r="C33" s="9">
        <v>45720</v>
      </c>
      <c r="D33" s="2">
        <v>19</v>
      </c>
      <c r="E33" s="2">
        <v>3</v>
      </c>
      <c r="F33" s="2">
        <v>374</v>
      </c>
      <c r="G33" s="2">
        <v>275</v>
      </c>
      <c r="H33" s="4">
        <f t="shared" si="0"/>
        <v>0.157894736842105</v>
      </c>
      <c r="I33" s="4">
        <f t="shared" si="1"/>
        <v>0.735294117647059</v>
      </c>
      <c r="J33" s="7">
        <f ca="1">F33-IFERROR(VLOOKUP($A33,'0505'!$A$1:'0505'!G$48,6,FALSE),IFERROR(VLOOKUP($C33,'0505'!$C$1:'0505'!G$48,4,FALSE),F33-D33))</f>
        <v>2</v>
      </c>
      <c r="K33" s="8">
        <f ca="1">G33-IFERROR(VLOOKUP($A33,'0505'!$A$1:'0505'!H$44,7,FALSE),IFERROR(VLOOKUP($C33,'0505'!$C$1:'0505'!H$44,5,FALSE),G33-E33))</f>
        <v>0</v>
      </c>
      <c r="L33" s="4">
        <f ca="1" t="shared" si="2"/>
        <v>0</v>
      </c>
      <c r="M33" s="13" t="s">
        <v>76</v>
      </c>
    </row>
    <row r="34" s="2" customFormat="1" spans="1:13">
      <c r="A34" s="2" t="s">
        <v>58</v>
      </c>
      <c r="B34" s="2" t="s">
        <v>10</v>
      </c>
      <c r="C34" s="9">
        <v>45719</v>
      </c>
      <c r="D34" s="2">
        <v>7</v>
      </c>
      <c r="E34" s="2">
        <v>10</v>
      </c>
      <c r="F34" s="2">
        <v>380</v>
      </c>
      <c r="G34" s="2">
        <v>657</v>
      </c>
      <c r="H34" s="4">
        <f t="shared" si="0"/>
        <v>1.42857142857143</v>
      </c>
      <c r="I34" s="4">
        <f t="shared" si="1"/>
        <v>1.72894736842105</v>
      </c>
      <c r="J34" s="7">
        <f ca="1">F34-IFERROR(VLOOKUP($A34,'0505'!$A$1:'0505'!G$48,6,FALSE),IFERROR(VLOOKUP($C34,'0505'!$C$1:'0505'!G$48,4,FALSE),F34-D34))</f>
        <v>0</v>
      </c>
      <c r="K34" s="8">
        <f ca="1">G34-IFERROR(VLOOKUP($A34,'0505'!$A$1:'0505'!H$44,7,FALSE),IFERROR(VLOOKUP($C34,'0505'!$C$1:'0505'!H$44,5,FALSE),G34-E34))</f>
        <v>0</v>
      </c>
      <c r="L34" s="4">
        <f ca="1" t="shared" si="2"/>
        <v>0</v>
      </c>
      <c r="M34" s="2" t="s">
        <v>59</v>
      </c>
    </row>
    <row r="35" s="2" customFormat="1" spans="1:13">
      <c r="A35" s="2" t="s">
        <v>60</v>
      </c>
      <c r="B35" s="2" t="s">
        <v>10</v>
      </c>
      <c r="C35" s="9">
        <v>45713</v>
      </c>
      <c r="D35" s="2">
        <v>6</v>
      </c>
      <c r="E35" s="2">
        <v>31</v>
      </c>
      <c r="F35" s="2">
        <v>226</v>
      </c>
      <c r="G35" s="2">
        <v>589</v>
      </c>
      <c r="H35" s="4">
        <f t="shared" si="0"/>
        <v>5.16666666666667</v>
      </c>
      <c r="I35" s="4">
        <f t="shared" si="1"/>
        <v>2.60619469026549</v>
      </c>
      <c r="J35" s="7">
        <f ca="1">F35-IFERROR(VLOOKUP($A35,'0505'!$A$1:'0505'!G$48,6,FALSE),IFERROR(VLOOKUP($C35,'0505'!$C$1:'0505'!G$48,4,FALSE),F35-D35))</f>
        <v>0</v>
      </c>
      <c r="K35" s="8">
        <f ca="1">G35-IFERROR(VLOOKUP($A35,'0505'!$A$1:'0505'!H$44,7,FALSE),IFERROR(VLOOKUP($C35,'0505'!$C$1:'0505'!H$44,5,FALSE),G35-E35))</f>
        <v>0</v>
      </c>
      <c r="L35" s="4">
        <f ca="1" t="shared" si="2"/>
        <v>0</v>
      </c>
      <c r="M35" s="2" t="s">
        <v>61</v>
      </c>
    </row>
    <row r="36" s="2" customFormat="1" spans="1:13">
      <c r="A36" s="2" t="s">
        <v>62</v>
      </c>
      <c r="B36" s="2" t="s">
        <v>10</v>
      </c>
      <c r="C36" s="9">
        <v>45691</v>
      </c>
      <c r="D36" s="2">
        <v>17</v>
      </c>
      <c r="E36" s="2">
        <v>5</v>
      </c>
      <c r="F36" s="2">
        <v>323</v>
      </c>
      <c r="G36" s="2">
        <v>36</v>
      </c>
      <c r="H36" s="4">
        <f t="shared" si="0"/>
        <v>0.294117647058824</v>
      </c>
      <c r="I36" s="4">
        <f t="shared" si="1"/>
        <v>0.111455108359133</v>
      </c>
      <c r="J36" s="7">
        <f ca="1">F36-IFERROR(VLOOKUP($A36,'0505'!$A$1:'0505'!G$48,6,FALSE),IFERROR(VLOOKUP($C36,'0505'!$C$1:'0505'!G$48,4,FALSE),F36-D36))</f>
        <v>2</v>
      </c>
      <c r="K36" s="8">
        <f ca="1">G36-IFERROR(VLOOKUP($A36,'0505'!$A$1:'0505'!H$44,7,FALSE),IFERROR(VLOOKUP($C36,'0505'!$C$1:'0505'!H$44,5,FALSE),G36-E36))</f>
        <v>0</v>
      </c>
      <c r="L36" s="4">
        <f ca="1" t="shared" si="2"/>
        <v>0</v>
      </c>
      <c r="M36" s="2" t="s">
        <v>63</v>
      </c>
    </row>
    <row r="37" spans="11:11">
      <c r="K37" s="2">
        <f ca="1">SUM(K2:K36)</f>
        <v>703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topLeftCell="A16" workbookViewId="0">
      <selection activeCell="A21" sqref="$A21:$XFD21"/>
    </sheetView>
  </sheetViews>
  <sheetFormatPr defaultColWidth="10" defaultRowHeight="14.4"/>
  <cols>
    <col min="1" max="1" width="61.7777777777778" style="2" customWidth="1"/>
    <col min="2" max="2" width="10" style="2" hidden="1" customWidth="1"/>
    <col min="3" max="3" width="10" style="2" customWidth="1"/>
    <col min="4" max="7" width="5.77777777777778" style="2" customWidth="1"/>
    <col min="8" max="9" width="6.77777777777778" style="2" customWidth="1"/>
    <col min="10" max="10" width="7.66666666666667" style="2" customWidth="1"/>
    <col min="11" max="12" width="6.77777777777778" style="2" customWidth="1"/>
    <col min="13" max="13" width="18.6666666666667" style="2" customWidth="1"/>
    <col min="14" max="16384" width="10" style="2"/>
  </cols>
  <sheetData>
    <row r="1" s="2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J1" s="5" t="s">
        <v>7</v>
      </c>
      <c r="K1" s="5" t="s">
        <v>8</v>
      </c>
    </row>
    <row r="2" s="2" customFormat="1" spans="1:12">
      <c r="A2" s="2" t="s">
        <v>80</v>
      </c>
      <c r="B2" s="2" t="s">
        <v>10</v>
      </c>
      <c r="C2" s="9">
        <v>45783</v>
      </c>
      <c r="D2" s="2">
        <v>82</v>
      </c>
      <c r="E2" s="2">
        <v>114</v>
      </c>
      <c r="F2" s="2">
        <v>82</v>
      </c>
      <c r="G2" s="2">
        <v>114</v>
      </c>
      <c r="H2" s="4">
        <f t="shared" ref="H2:H36" si="0">E2/D2</f>
        <v>1.39024390243902</v>
      </c>
      <c r="I2" s="4">
        <f t="shared" ref="I2:I36" si="1">G2/F2</f>
        <v>1.39024390243902</v>
      </c>
      <c r="J2" s="7">
        <f ca="1">F2-IFERROR(VLOOKUP($A2,'0506'!$A$1:'0506'!G$48,6,FALSE),IFERROR(VLOOKUP($C2,'0506'!$C$1:'0506'!G$48,4,FALSE),F2-D2))</f>
        <v>82</v>
      </c>
      <c r="K2" s="8">
        <f ca="1">G2-IFERROR(VLOOKUP($A2,'0506'!$A$1:'0506'!H$44,7,FALSE),IFERROR(VLOOKUP($C2,'0506'!$C$1:'0506'!H$44,5,FALSE),G2-E2))</f>
        <v>114</v>
      </c>
      <c r="L2" s="4">
        <f ca="1" t="shared" ref="L2:L36" si="2">IFERROR(K2/J2,)</f>
        <v>1.39024390243902</v>
      </c>
    </row>
    <row r="3" s="2" customFormat="1" spans="1:12">
      <c r="A3" s="2" t="s">
        <v>81</v>
      </c>
      <c r="B3" s="2" t="s">
        <v>10</v>
      </c>
      <c r="C3" s="9">
        <v>45783</v>
      </c>
      <c r="D3" s="2">
        <v>89</v>
      </c>
      <c r="E3" s="2">
        <v>145</v>
      </c>
      <c r="F3" s="2">
        <v>89</v>
      </c>
      <c r="G3" s="2">
        <v>145</v>
      </c>
      <c r="H3" s="4">
        <f t="shared" si="0"/>
        <v>1.62921348314607</v>
      </c>
      <c r="I3" s="4">
        <f t="shared" si="1"/>
        <v>1.62921348314607</v>
      </c>
      <c r="J3" s="7">
        <f ca="1">F3-IFERROR(VLOOKUP($A3,'0506'!$A$1:'0506'!G$48,6,FALSE),IFERROR(VLOOKUP($C3,'0506'!$C$1:'0506'!G$48,4,FALSE),F3-D3))</f>
        <v>89</v>
      </c>
      <c r="K3" s="8">
        <f ca="1">G3-IFERROR(VLOOKUP($A3,'0506'!$A$1:'0506'!H$44,7,FALSE),IFERROR(VLOOKUP($C3,'0506'!$C$1:'0506'!H$44,5,FALSE),G3-E3))</f>
        <v>145</v>
      </c>
      <c r="L3" s="4">
        <f ca="1" t="shared" si="2"/>
        <v>1.62921348314607</v>
      </c>
    </row>
    <row r="4" s="2" customFormat="1" spans="1:12">
      <c r="A4" s="2" t="s">
        <v>77</v>
      </c>
      <c r="B4" s="2" t="s">
        <v>10</v>
      </c>
      <c r="C4" s="9">
        <v>45782</v>
      </c>
      <c r="D4" s="2">
        <v>197</v>
      </c>
      <c r="E4" s="2">
        <v>183</v>
      </c>
      <c r="F4" s="2">
        <v>197</v>
      </c>
      <c r="G4" s="2">
        <v>183</v>
      </c>
      <c r="H4" s="4">
        <f t="shared" si="0"/>
        <v>0.928934010152284</v>
      </c>
      <c r="I4" s="4">
        <f t="shared" si="1"/>
        <v>0.928934010152284</v>
      </c>
      <c r="J4" s="7">
        <f ca="1">F4-IFERROR(VLOOKUP($A4,'0506'!$A$1:'0506'!G$48,6,FALSE),IFERROR(VLOOKUP($C4,'0506'!$C$1:'0506'!G$48,4,FALSE),F4-D4))</f>
        <v>90</v>
      </c>
      <c r="K4" s="8">
        <f ca="1">G4-IFERROR(VLOOKUP($A4,'0506'!$A$1:'0506'!H$44,7,FALSE),IFERROR(VLOOKUP($C4,'0506'!$C$1:'0506'!H$44,5,FALSE),G4-E4))</f>
        <v>34</v>
      </c>
      <c r="L4" s="4">
        <f ca="1" t="shared" si="2"/>
        <v>0.377777777777778</v>
      </c>
    </row>
    <row r="5" s="2" customFormat="1" spans="1:12">
      <c r="A5" s="2" t="s">
        <v>72</v>
      </c>
      <c r="B5" s="2" t="s">
        <v>10</v>
      </c>
      <c r="C5" s="9">
        <v>45781</v>
      </c>
      <c r="D5" s="2">
        <v>169</v>
      </c>
      <c r="E5" s="2">
        <v>546</v>
      </c>
      <c r="F5" s="2">
        <v>169</v>
      </c>
      <c r="G5" s="2">
        <v>546</v>
      </c>
      <c r="H5" s="4">
        <f t="shared" si="0"/>
        <v>3.23076923076923</v>
      </c>
      <c r="I5" s="4">
        <f t="shared" si="1"/>
        <v>3.23076923076923</v>
      </c>
      <c r="J5" s="7">
        <f ca="1">F5-IFERROR(VLOOKUP($A5,'0506'!$A$1:'0506'!G$48,6,FALSE),IFERROR(VLOOKUP($C5,'0506'!$C$1:'0506'!G$48,4,FALSE),F5-D5))</f>
        <v>60</v>
      </c>
      <c r="K5" s="8">
        <f ca="1">G5-IFERROR(VLOOKUP($A5,'0506'!$A$1:'0506'!H$44,7,FALSE),IFERROR(VLOOKUP($C5,'0506'!$C$1:'0506'!H$44,5,FALSE),G5-E5))</f>
        <v>84</v>
      </c>
      <c r="L5" s="4">
        <f ca="1" t="shared" si="2"/>
        <v>1.4</v>
      </c>
    </row>
    <row r="6" s="2" customFormat="1" spans="1:12">
      <c r="A6" s="2" t="s">
        <v>69</v>
      </c>
      <c r="B6" s="2" t="s">
        <v>10</v>
      </c>
      <c r="C6" s="9">
        <v>45780</v>
      </c>
      <c r="D6" s="2">
        <v>1092</v>
      </c>
      <c r="E6" s="2">
        <v>513</v>
      </c>
      <c r="F6" s="2">
        <v>1092</v>
      </c>
      <c r="G6" s="2">
        <v>513</v>
      </c>
      <c r="H6" s="4">
        <f t="shared" si="0"/>
        <v>0.46978021978022</v>
      </c>
      <c r="I6" s="4">
        <f t="shared" si="1"/>
        <v>0.46978021978022</v>
      </c>
      <c r="J6" s="7">
        <f ca="1">F6-IFERROR(VLOOKUP($A6,'0506'!$A$1:'0506'!G$48,6,FALSE),IFERROR(VLOOKUP($C6,'0506'!$C$1:'0506'!G$48,4,FALSE),F6-D6))</f>
        <v>125</v>
      </c>
      <c r="K6" s="8">
        <f ca="1">G6-IFERROR(VLOOKUP($A6,'0506'!$A$1:'0506'!H$44,7,FALSE),IFERROR(VLOOKUP($C6,'0506'!$C$1:'0506'!H$44,5,FALSE),G6-E6))</f>
        <v>25</v>
      </c>
      <c r="L6" s="4">
        <f ca="1" t="shared" si="2"/>
        <v>0.2</v>
      </c>
    </row>
    <row r="7" s="2" customFormat="1" spans="1:12">
      <c r="A7" s="2" t="s">
        <v>68</v>
      </c>
      <c r="B7" s="2" t="s">
        <v>10</v>
      </c>
      <c r="C7" s="9">
        <v>45779</v>
      </c>
      <c r="D7" s="2">
        <v>166</v>
      </c>
      <c r="E7" s="2">
        <v>139</v>
      </c>
      <c r="F7" s="2">
        <v>166</v>
      </c>
      <c r="G7" s="2">
        <v>139</v>
      </c>
      <c r="H7" s="4">
        <f t="shared" si="0"/>
        <v>0.837349397590361</v>
      </c>
      <c r="I7" s="4">
        <f t="shared" si="1"/>
        <v>0.837349397590361</v>
      </c>
      <c r="J7" s="7">
        <f ca="1">F7-IFERROR(VLOOKUP($A7,'0506'!$A$1:'0506'!G$48,6,FALSE),IFERROR(VLOOKUP($C7,'0506'!$C$1:'0506'!G$48,4,FALSE),F7-D7))</f>
        <v>19</v>
      </c>
      <c r="K7" s="8">
        <f ca="1">G7-IFERROR(VLOOKUP($A7,'0506'!$A$1:'0506'!H$44,7,FALSE),IFERROR(VLOOKUP($C7,'0506'!$C$1:'0506'!H$44,5,FALSE),G7-E7))</f>
        <v>0</v>
      </c>
      <c r="L7" s="4">
        <f ca="1" t="shared" si="2"/>
        <v>0</v>
      </c>
    </row>
    <row r="8" s="2" customFormat="1" spans="1:12">
      <c r="A8" s="2" t="s">
        <v>66</v>
      </c>
      <c r="B8" s="2" t="s">
        <v>10</v>
      </c>
      <c r="C8" s="9">
        <v>45778</v>
      </c>
      <c r="D8" s="2">
        <v>368</v>
      </c>
      <c r="E8" s="2">
        <v>154</v>
      </c>
      <c r="F8" s="2">
        <v>368</v>
      </c>
      <c r="G8" s="2">
        <v>154</v>
      </c>
      <c r="H8" s="4">
        <f t="shared" si="0"/>
        <v>0.418478260869565</v>
      </c>
      <c r="I8" s="4">
        <f t="shared" si="1"/>
        <v>0.418478260869565</v>
      </c>
      <c r="J8" s="7">
        <f ca="1">F8-IFERROR(VLOOKUP($A8,'0506'!$A$1:'0506'!G$48,6,FALSE),IFERROR(VLOOKUP($C8,'0506'!$C$1:'0506'!G$48,4,FALSE),F8-D8))</f>
        <v>19</v>
      </c>
      <c r="K8" s="8">
        <f ca="1">G8-IFERROR(VLOOKUP($A8,'0506'!$A$1:'0506'!H$44,7,FALSE),IFERROR(VLOOKUP($C8,'0506'!$C$1:'0506'!H$44,5,FALSE),G8-E8))</f>
        <v>0</v>
      </c>
      <c r="L8" s="4">
        <f ca="1" t="shared" si="2"/>
        <v>0</v>
      </c>
    </row>
    <row r="9" s="2" customFormat="1" spans="1:12">
      <c r="A9" s="2" t="s">
        <v>9</v>
      </c>
      <c r="B9" s="2" t="s">
        <v>10</v>
      </c>
      <c r="C9" s="9">
        <v>45777</v>
      </c>
      <c r="D9" s="2">
        <v>230</v>
      </c>
      <c r="E9" s="2">
        <v>290</v>
      </c>
      <c r="F9" s="2">
        <v>230</v>
      </c>
      <c r="G9" s="2">
        <v>290</v>
      </c>
      <c r="H9" s="4">
        <f t="shared" si="0"/>
        <v>1.26086956521739</v>
      </c>
      <c r="I9" s="4">
        <f t="shared" si="1"/>
        <v>1.26086956521739</v>
      </c>
      <c r="J9" s="7">
        <f ca="1">F9-IFERROR(VLOOKUP($A9,'0506'!$A$1:'0506'!G$48,6,FALSE),IFERROR(VLOOKUP($C9,'0506'!$C$1:'0506'!G$48,4,FALSE),F9-D9))</f>
        <v>16</v>
      </c>
      <c r="K9" s="8">
        <f ca="1">G9-IFERROR(VLOOKUP($A9,'0506'!$A$1:'0506'!H$44,7,FALSE),IFERROR(VLOOKUP($C9,'0506'!$C$1:'0506'!H$44,5,FALSE),G9-E9))</f>
        <v>0</v>
      </c>
      <c r="L9" s="4">
        <f ca="1" t="shared" si="2"/>
        <v>0</v>
      </c>
    </row>
    <row r="10" s="2" customFormat="1" spans="1:13">
      <c r="A10" s="2" t="s">
        <v>11</v>
      </c>
      <c r="B10" s="2" t="s">
        <v>10</v>
      </c>
      <c r="C10" s="9">
        <v>45777</v>
      </c>
      <c r="D10" s="2">
        <v>134</v>
      </c>
      <c r="E10" s="2">
        <v>563</v>
      </c>
      <c r="F10" s="2">
        <v>134</v>
      </c>
      <c r="G10" s="2">
        <v>563</v>
      </c>
      <c r="H10" s="4">
        <f t="shared" si="0"/>
        <v>4.20149253731343</v>
      </c>
      <c r="I10" s="4">
        <f t="shared" si="1"/>
        <v>4.20149253731343</v>
      </c>
      <c r="J10" s="7">
        <f ca="1">F10-IFERROR(VLOOKUP($A10,'0506'!$A$1:'0506'!G$48,6,FALSE),IFERROR(VLOOKUP($C10,'0506'!$C$1:'0506'!G$48,4,FALSE),F10-D10))</f>
        <v>15</v>
      </c>
      <c r="K10" s="8">
        <f ca="1">G10-IFERROR(VLOOKUP($A10,'0506'!$A$1:'0506'!H$44,7,FALSE),IFERROR(VLOOKUP($C10,'0506'!$C$1:'0506'!H$44,5,FALSE),G10-E10))</f>
        <v>51</v>
      </c>
      <c r="L10" s="4">
        <f ca="1" t="shared" si="2"/>
        <v>3.4</v>
      </c>
      <c r="M10" s="2" t="s">
        <v>67</v>
      </c>
    </row>
    <row r="11" s="2" customFormat="1" spans="1:12">
      <c r="A11" s="2" t="s">
        <v>12</v>
      </c>
      <c r="B11" s="2" t="s">
        <v>10</v>
      </c>
      <c r="C11" s="9">
        <v>45776</v>
      </c>
      <c r="D11" s="2">
        <v>523</v>
      </c>
      <c r="E11" s="2">
        <v>180</v>
      </c>
      <c r="F11" s="2">
        <v>641</v>
      </c>
      <c r="G11" s="2">
        <v>393</v>
      </c>
      <c r="H11" s="4">
        <f t="shared" si="0"/>
        <v>0.344168260038241</v>
      </c>
      <c r="I11" s="4">
        <f t="shared" si="1"/>
        <v>0.613104524180967</v>
      </c>
      <c r="J11" s="7">
        <f ca="1">F11-IFERROR(VLOOKUP($A11,'0506'!$A$1:'0506'!G$48,6,FALSE),IFERROR(VLOOKUP($C11,'0506'!$C$1:'0506'!G$48,4,FALSE),F11-D11))</f>
        <v>22</v>
      </c>
      <c r="K11" s="8">
        <f ca="1">G11-IFERROR(VLOOKUP($A11,'0506'!$A$1:'0506'!H$44,7,FALSE),IFERROR(VLOOKUP($C11,'0506'!$C$1:'0506'!H$44,5,FALSE),G11-E11))</f>
        <v>0</v>
      </c>
      <c r="L11" s="4">
        <f ca="1" t="shared" si="2"/>
        <v>0</v>
      </c>
    </row>
    <row r="12" s="2" customFormat="1" spans="1:12">
      <c r="A12" s="2" t="s">
        <v>13</v>
      </c>
      <c r="B12" s="2" t="s">
        <v>10</v>
      </c>
      <c r="C12" s="9">
        <v>45775</v>
      </c>
      <c r="D12" s="2">
        <v>98</v>
      </c>
      <c r="E12" s="2">
        <v>94</v>
      </c>
      <c r="F12" s="2">
        <v>242</v>
      </c>
      <c r="G12" s="2">
        <v>311</v>
      </c>
      <c r="H12" s="4">
        <f t="shared" si="0"/>
        <v>0.959183673469388</v>
      </c>
      <c r="I12" s="4">
        <f t="shared" si="1"/>
        <v>1.28512396694215</v>
      </c>
      <c r="J12" s="7">
        <f ca="1">F12-IFERROR(VLOOKUP($A12,'0506'!$A$1:'0506'!G$48,6,FALSE),IFERROR(VLOOKUP($C12,'0506'!$C$1:'0506'!G$48,4,FALSE),F12-D12))</f>
        <v>2</v>
      </c>
      <c r="K12" s="8">
        <f ca="1">G12-IFERROR(VLOOKUP($A12,'0506'!$A$1:'0506'!H$44,7,FALSE),IFERROR(VLOOKUP($C12,'0506'!$C$1:'0506'!H$44,5,FALSE),G12-E12))</f>
        <v>0</v>
      </c>
      <c r="L12" s="4">
        <f ca="1" t="shared" si="2"/>
        <v>0</v>
      </c>
    </row>
    <row r="13" s="2" customFormat="1" spans="1:13">
      <c r="A13" s="2" t="s">
        <v>14</v>
      </c>
      <c r="B13" s="2" t="s">
        <v>10</v>
      </c>
      <c r="C13" s="9">
        <v>45775</v>
      </c>
      <c r="D13" s="2">
        <v>17</v>
      </c>
      <c r="E13" s="2">
        <v>28</v>
      </c>
      <c r="F13" s="2">
        <v>136</v>
      </c>
      <c r="G13" s="2">
        <v>304</v>
      </c>
      <c r="H13" s="4">
        <f t="shared" si="0"/>
        <v>1.64705882352941</v>
      </c>
      <c r="I13" s="4">
        <f t="shared" si="1"/>
        <v>2.23529411764706</v>
      </c>
      <c r="J13" s="7">
        <f ca="1">F13-IFERROR(VLOOKUP($A13,'0506'!$A$1:'0506'!G$48,6,FALSE),IFERROR(VLOOKUP($C13,'0506'!$C$1:'0506'!G$48,4,FALSE),F13-D13))</f>
        <v>0</v>
      </c>
      <c r="K13" s="8">
        <f ca="1">G13-IFERROR(VLOOKUP($A13,'0506'!$A$1:'0506'!H$44,7,FALSE),IFERROR(VLOOKUP($C13,'0506'!$C$1:'0506'!H$44,5,FALSE),G13-E13))</f>
        <v>0</v>
      </c>
      <c r="L13" s="4">
        <f ca="1" t="shared" si="2"/>
        <v>0</v>
      </c>
      <c r="M13" s="2" t="s">
        <v>82</v>
      </c>
    </row>
    <row r="14" s="2" customFormat="1" spans="1:12">
      <c r="A14" s="2" t="s">
        <v>15</v>
      </c>
      <c r="B14" s="2" t="s">
        <v>10</v>
      </c>
      <c r="C14" s="9">
        <v>45774</v>
      </c>
      <c r="D14" s="2">
        <v>11</v>
      </c>
      <c r="E14" s="2">
        <v>8</v>
      </c>
      <c r="F14" s="2">
        <v>140</v>
      </c>
      <c r="G14" s="2">
        <v>216</v>
      </c>
      <c r="H14" s="4">
        <f t="shared" si="0"/>
        <v>0.727272727272727</v>
      </c>
      <c r="I14" s="4">
        <f t="shared" si="1"/>
        <v>1.54285714285714</v>
      </c>
      <c r="J14" s="7">
        <f ca="1">F14-IFERROR(VLOOKUP($A14,'0506'!$A$1:'0506'!G$48,6,FALSE),IFERROR(VLOOKUP($C14,'0506'!$C$1:'0506'!G$48,4,FALSE),F14-D14))</f>
        <v>0</v>
      </c>
      <c r="K14" s="8">
        <f ca="1">G14-IFERROR(VLOOKUP($A14,'0506'!$A$1:'0506'!H$44,7,FALSE),IFERROR(VLOOKUP($C14,'0506'!$C$1:'0506'!H$44,5,FALSE),G14-E14))</f>
        <v>0</v>
      </c>
      <c r="L14" s="4">
        <f ca="1" t="shared" si="2"/>
        <v>0</v>
      </c>
    </row>
    <row r="15" s="2" customFormat="1" spans="1:12">
      <c r="A15" s="2" t="s">
        <v>16</v>
      </c>
      <c r="B15" s="2" t="s">
        <v>10</v>
      </c>
      <c r="C15" s="9">
        <v>45774</v>
      </c>
      <c r="D15" s="2">
        <v>56</v>
      </c>
      <c r="E15" s="2">
        <v>72</v>
      </c>
      <c r="F15" s="2">
        <v>406</v>
      </c>
      <c r="G15" s="2">
        <v>371</v>
      </c>
      <c r="H15" s="4">
        <f t="shared" si="0"/>
        <v>1.28571428571429</v>
      </c>
      <c r="I15" s="4">
        <f t="shared" si="1"/>
        <v>0.913793103448276</v>
      </c>
      <c r="J15" s="7">
        <f ca="1">F15-IFERROR(VLOOKUP($A15,'0506'!$A$1:'0506'!G$48,6,FALSE),IFERROR(VLOOKUP($C15,'0506'!$C$1:'0506'!G$48,4,FALSE),F15-D15))</f>
        <v>2</v>
      </c>
      <c r="K15" s="8">
        <f ca="1">G15-IFERROR(VLOOKUP($A15,'0506'!$A$1:'0506'!H$44,7,FALSE),IFERROR(VLOOKUP($C15,'0506'!$C$1:'0506'!H$44,5,FALSE),G15-E15))</f>
        <v>0</v>
      </c>
      <c r="L15" s="4">
        <f ca="1" t="shared" si="2"/>
        <v>0</v>
      </c>
    </row>
    <row r="16" s="2" customFormat="1" spans="1:12">
      <c r="A16" s="2" t="s">
        <v>17</v>
      </c>
      <c r="B16" s="2" t="s">
        <v>10</v>
      </c>
      <c r="C16" s="9">
        <v>45773</v>
      </c>
      <c r="D16" s="2">
        <v>31</v>
      </c>
      <c r="E16" s="2">
        <v>8</v>
      </c>
      <c r="F16" s="2">
        <v>143</v>
      </c>
      <c r="G16" s="2">
        <v>190</v>
      </c>
      <c r="H16" s="4">
        <f t="shared" si="0"/>
        <v>0.258064516129032</v>
      </c>
      <c r="I16" s="4">
        <f t="shared" si="1"/>
        <v>1.32867132867133</v>
      </c>
      <c r="J16" s="7">
        <f ca="1">F16-IFERROR(VLOOKUP($A16,'0506'!$A$1:'0506'!G$48,6,FALSE),IFERROR(VLOOKUP($C16,'0506'!$C$1:'0506'!G$48,4,FALSE),F16-D16))</f>
        <v>1</v>
      </c>
      <c r="K16" s="8">
        <f ca="1">G16-IFERROR(VLOOKUP($A16,'0506'!$A$1:'0506'!H$44,7,FALSE),IFERROR(VLOOKUP($C16,'0506'!$C$1:'0506'!H$44,5,FALSE),G16-E16))</f>
        <v>0</v>
      </c>
      <c r="L16" s="4">
        <f ca="1" t="shared" si="2"/>
        <v>0</v>
      </c>
    </row>
    <row r="17" s="2" customFormat="1" spans="1:12">
      <c r="A17" s="2" t="s">
        <v>18</v>
      </c>
      <c r="B17" s="2" t="s">
        <v>10</v>
      </c>
      <c r="C17" s="9">
        <v>45773</v>
      </c>
      <c r="D17" s="2">
        <v>16</v>
      </c>
      <c r="E17" s="2">
        <v>12</v>
      </c>
      <c r="F17" s="2">
        <v>226</v>
      </c>
      <c r="G17" s="2">
        <v>247</v>
      </c>
      <c r="H17" s="4">
        <f t="shared" si="0"/>
        <v>0.75</v>
      </c>
      <c r="I17" s="4">
        <f t="shared" si="1"/>
        <v>1.0929203539823</v>
      </c>
      <c r="J17" s="7">
        <f ca="1">F17-IFERROR(VLOOKUP($A17,'0506'!$A$1:'0506'!G$48,6,FALSE),IFERROR(VLOOKUP($C17,'0506'!$C$1:'0506'!G$48,4,FALSE),F17-D17))</f>
        <v>1</v>
      </c>
      <c r="K17" s="8">
        <f ca="1">G17-IFERROR(VLOOKUP($A17,'0506'!$A$1:'0506'!H$44,7,FALSE),IFERROR(VLOOKUP($C17,'0506'!$C$1:'0506'!H$44,5,FALSE),G17-E17))</f>
        <v>0</v>
      </c>
      <c r="L17" s="4">
        <f ca="1" t="shared" si="2"/>
        <v>0</v>
      </c>
    </row>
    <row r="18" s="2" customFormat="1" spans="1:13">
      <c r="A18" s="2" t="s">
        <v>19</v>
      </c>
      <c r="B18" s="2" t="s">
        <v>10</v>
      </c>
      <c r="C18" s="9">
        <v>45772</v>
      </c>
      <c r="D18" s="2">
        <v>100</v>
      </c>
      <c r="E18" s="2">
        <v>272</v>
      </c>
      <c r="F18" s="2">
        <v>198</v>
      </c>
      <c r="G18" s="2">
        <v>612</v>
      </c>
      <c r="H18" s="4">
        <f t="shared" si="0"/>
        <v>2.72</v>
      </c>
      <c r="I18" s="4">
        <f t="shared" si="1"/>
        <v>3.09090909090909</v>
      </c>
      <c r="J18" s="7">
        <f ca="1">F18-IFERROR(VLOOKUP($A18,'0506'!$A$1:'0506'!G$48,6,FALSE),IFERROR(VLOOKUP($C18,'0506'!$C$1:'0506'!G$48,4,FALSE),F18-D18))</f>
        <v>0</v>
      </c>
      <c r="K18" s="8">
        <f ca="1">G18-IFERROR(VLOOKUP($A18,'0506'!$A$1:'0506'!H$44,7,FALSE),IFERROR(VLOOKUP($C18,'0506'!$C$1:'0506'!H$44,5,FALSE),G18-E18))</f>
        <v>0</v>
      </c>
      <c r="L18" s="4">
        <f ca="1" t="shared" si="2"/>
        <v>0</v>
      </c>
      <c r="M18" s="2" t="s">
        <v>20</v>
      </c>
    </row>
    <row r="19" s="2" customFormat="1" spans="1:12">
      <c r="A19" s="2" t="s">
        <v>21</v>
      </c>
      <c r="B19" s="2" t="s">
        <v>10</v>
      </c>
      <c r="C19" s="9">
        <v>45771</v>
      </c>
      <c r="D19" s="2">
        <v>20</v>
      </c>
      <c r="E19" s="2">
        <v>12</v>
      </c>
      <c r="F19" s="2">
        <v>197</v>
      </c>
      <c r="G19" s="2">
        <v>183</v>
      </c>
      <c r="H19" s="4">
        <f t="shared" si="0"/>
        <v>0.6</v>
      </c>
      <c r="I19" s="4">
        <f t="shared" si="1"/>
        <v>0.928934010152284</v>
      </c>
      <c r="J19" s="7">
        <f ca="1">F19-IFERROR(VLOOKUP($A19,'0506'!$A$1:'0506'!G$48,6,FALSE),IFERROR(VLOOKUP($C19,'0506'!$C$1:'0506'!G$48,4,FALSE),F19-D19))</f>
        <v>5</v>
      </c>
      <c r="K19" s="8">
        <f ca="1">G19-IFERROR(VLOOKUP($A19,'0506'!$A$1:'0506'!H$44,7,FALSE),IFERROR(VLOOKUP($C19,'0506'!$C$1:'0506'!H$44,5,FALSE),G19-E19))</f>
        <v>0</v>
      </c>
      <c r="L19" s="4">
        <f ca="1" t="shared" si="2"/>
        <v>0</v>
      </c>
    </row>
    <row r="20" s="2" customFormat="1" spans="1:12">
      <c r="A20" s="2" t="s">
        <v>22</v>
      </c>
      <c r="B20" s="2" t="s">
        <v>10</v>
      </c>
      <c r="C20" s="9">
        <v>45771</v>
      </c>
      <c r="D20" s="2">
        <v>51</v>
      </c>
      <c r="E20" s="2">
        <v>4</v>
      </c>
      <c r="F20" s="2">
        <v>188</v>
      </c>
      <c r="G20" s="2">
        <v>125</v>
      </c>
      <c r="H20" s="4">
        <f t="shared" si="0"/>
        <v>0.0784313725490196</v>
      </c>
      <c r="I20" s="4">
        <f t="shared" si="1"/>
        <v>0.664893617021277</v>
      </c>
      <c r="J20" s="7">
        <f ca="1">F20-IFERROR(VLOOKUP($A20,'0506'!$A$1:'0506'!G$48,6,FALSE),IFERROR(VLOOKUP($C20,'0506'!$C$1:'0506'!G$48,4,FALSE),F20-D20))</f>
        <v>8</v>
      </c>
      <c r="K20" s="8">
        <f ca="1">G20-IFERROR(VLOOKUP($A20,'0506'!$A$1:'0506'!H$44,7,FALSE),IFERROR(VLOOKUP($C20,'0506'!$C$1:'0506'!H$44,5,FALSE),G20-E20))</f>
        <v>0</v>
      </c>
      <c r="L20" s="4">
        <f ca="1" t="shared" si="2"/>
        <v>0</v>
      </c>
    </row>
    <row r="21" s="2" customFormat="1" spans="1:13">
      <c r="A21" s="2" t="s">
        <v>23</v>
      </c>
      <c r="B21" s="2" t="s">
        <v>10</v>
      </c>
      <c r="C21" s="9">
        <v>45770</v>
      </c>
      <c r="D21" s="2">
        <v>33</v>
      </c>
      <c r="E21" s="2">
        <v>4</v>
      </c>
      <c r="F21" s="2">
        <v>229</v>
      </c>
      <c r="G21" s="2">
        <v>685</v>
      </c>
      <c r="H21" s="4">
        <f t="shared" si="0"/>
        <v>0.121212121212121</v>
      </c>
      <c r="I21" s="4">
        <f t="shared" si="1"/>
        <v>2.99126637554585</v>
      </c>
      <c r="J21" s="7">
        <f ca="1">F21-IFERROR(VLOOKUP($A21,'0506'!$A$1:'0506'!G$48,6,FALSE),IFERROR(VLOOKUP($C21,'0506'!$C$1:'0506'!G$48,4,FALSE),F21-D21))</f>
        <v>1</v>
      </c>
      <c r="K21" s="8">
        <f ca="1">G21-IFERROR(VLOOKUP($A21,'0506'!$A$1:'0506'!H$44,7,FALSE),IFERROR(VLOOKUP($C21,'0506'!$C$1:'0506'!H$44,5,FALSE),G21-E21))</f>
        <v>0</v>
      </c>
      <c r="L21" s="4">
        <f ca="1" t="shared" si="2"/>
        <v>0</v>
      </c>
      <c r="M21" s="2" t="s">
        <v>24</v>
      </c>
    </row>
    <row r="22" s="2" customFormat="1" spans="1:12">
      <c r="A22" s="2" t="s">
        <v>38</v>
      </c>
      <c r="B22" s="2" t="s">
        <v>10</v>
      </c>
      <c r="C22" s="9">
        <v>45764</v>
      </c>
      <c r="D22" s="2">
        <v>48</v>
      </c>
      <c r="E22" s="2">
        <v>21</v>
      </c>
      <c r="F22" s="2">
        <v>383</v>
      </c>
      <c r="G22" s="2">
        <v>282</v>
      </c>
      <c r="H22" s="4">
        <f t="shared" si="0"/>
        <v>0.4375</v>
      </c>
      <c r="I22" s="4">
        <f t="shared" si="1"/>
        <v>0.736292428198433</v>
      </c>
      <c r="J22" s="7">
        <f ca="1">F22-IFERROR(VLOOKUP($A22,'0506'!$A$1:'0506'!G$48,6,FALSE),IFERROR(VLOOKUP($C22,'0506'!$C$1:'0506'!G$48,4,FALSE),F22-D22))</f>
        <v>2</v>
      </c>
      <c r="K22" s="8">
        <f ca="1">G22-IFERROR(VLOOKUP($A22,'0506'!$A$1:'0506'!H$44,7,FALSE),IFERROR(VLOOKUP($C22,'0506'!$C$1:'0506'!H$44,5,FALSE),G22-E22))</f>
        <v>0</v>
      </c>
      <c r="L22" s="4">
        <f ca="1" t="shared" si="2"/>
        <v>0</v>
      </c>
    </row>
    <row r="23" s="2" customFormat="1" spans="1:13">
      <c r="A23" s="2" t="s">
        <v>40</v>
      </c>
      <c r="B23" s="2" t="s">
        <v>10</v>
      </c>
      <c r="C23" s="9">
        <v>45763</v>
      </c>
      <c r="D23" s="2">
        <v>1</v>
      </c>
      <c r="E23" s="2">
        <v>4</v>
      </c>
      <c r="F23" s="2">
        <v>130</v>
      </c>
      <c r="G23" s="2">
        <v>198</v>
      </c>
      <c r="H23" s="4">
        <f t="shared" si="0"/>
        <v>4</v>
      </c>
      <c r="I23" s="4">
        <f t="shared" si="1"/>
        <v>1.52307692307692</v>
      </c>
      <c r="J23" s="7">
        <f ca="1">F23-IFERROR(VLOOKUP($A23,'0506'!$A$1:'0506'!G$48,6,FALSE),IFERROR(VLOOKUP($C23,'0506'!$C$1:'0506'!G$48,4,FALSE),F23-D23))</f>
        <v>0</v>
      </c>
      <c r="K23" s="8">
        <f ca="1">G23-IFERROR(VLOOKUP($A23,'0506'!$A$1:'0506'!H$44,7,FALSE),IFERROR(VLOOKUP($C23,'0506'!$C$1:'0506'!H$44,5,FALSE),G23-E23))</f>
        <v>0</v>
      </c>
      <c r="L23" s="4">
        <f ca="1" t="shared" si="2"/>
        <v>0</v>
      </c>
      <c r="M23" s="2" t="s">
        <v>41</v>
      </c>
    </row>
    <row r="24" s="2" customFormat="1" spans="1:13">
      <c r="A24" s="2" t="s">
        <v>42</v>
      </c>
      <c r="B24" s="2" t="s">
        <v>10</v>
      </c>
      <c r="C24" s="9">
        <v>45762</v>
      </c>
      <c r="D24" s="2">
        <v>13</v>
      </c>
      <c r="E24" s="2">
        <v>12</v>
      </c>
      <c r="F24" s="2">
        <v>607</v>
      </c>
      <c r="G24" s="2">
        <v>647</v>
      </c>
      <c r="H24" s="4">
        <f t="shared" si="0"/>
        <v>0.923076923076923</v>
      </c>
      <c r="I24" s="4">
        <f t="shared" si="1"/>
        <v>1.0658978583196</v>
      </c>
      <c r="J24" s="7">
        <f ca="1">F24-IFERROR(VLOOKUP($A24,'0506'!$A$1:'0506'!G$48,6,FALSE),IFERROR(VLOOKUP($C24,'0506'!$C$1:'0506'!G$48,4,FALSE),F24-D24))</f>
        <v>4</v>
      </c>
      <c r="K24" s="8">
        <f ca="1">G24-IFERROR(VLOOKUP($A24,'0506'!$A$1:'0506'!H$44,7,FALSE),IFERROR(VLOOKUP($C24,'0506'!$C$1:'0506'!H$44,5,FALSE),G24-E24))</f>
        <v>6</v>
      </c>
      <c r="L24" s="4">
        <f ca="1" t="shared" si="2"/>
        <v>1.5</v>
      </c>
      <c r="M24" s="2" t="s">
        <v>43</v>
      </c>
    </row>
    <row r="25" s="2" customFormat="1" spans="1:13">
      <c r="A25" s="2" t="s">
        <v>44</v>
      </c>
      <c r="B25" s="2" t="s">
        <v>10</v>
      </c>
      <c r="C25" s="9">
        <v>45761</v>
      </c>
      <c r="D25" s="2">
        <v>7</v>
      </c>
      <c r="E25" s="2">
        <v>12</v>
      </c>
      <c r="F25" s="2">
        <v>1059</v>
      </c>
      <c r="G25" s="2">
        <v>919</v>
      </c>
      <c r="H25" s="4">
        <f t="shared" si="0"/>
        <v>1.71428571428571</v>
      </c>
      <c r="I25" s="4">
        <f t="shared" si="1"/>
        <v>0.867799811142587</v>
      </c>
      <c r="J25" s="7">
        <f ca="1">F25-IFERROR(VLOOKUP($A25,'0506'!$A$1:'0506'!G$48,6,FALSE),IFERROR(VLOOKUP($C25,'0506'!$C$1:'0506'!G$48,4,FALSE),F25-D25))</f>
        <v>2</v>
      </c>
      <c r="K25" s="8">
        <f ca="1">G25-IFERROR(VLOOKUP($A25,'0506'!$A$1:'0506'!H$44,7,FALSE),IFERROR(VLOOKUP($C25,'0506'!$C$1:'0506'!H$44,5,FALSE),G25-E25))</f>
        <v>0</v>
      </c>
      <c r="L25" s="4">
        <f ca="1" t="shared" si="2"/>
        <v>0</v>
      </c>
      <c r="M25" s="2" t="s">
        <v>45</v>
      </c>
    </row>
    <row r="26" s="2" customFormat="1" spans="1:13">
      <c r="A26" s="2" t="s">
        <v>73</v>
      </c>
      <c r="B26" s="2" t="s">
        <v>10</v>
      </c>
      <c r="C26" s="9">
        <v>45755</v>
      </c>
      <c r="D26" s="2">
        <v>7</v>
      </c>
      <c r="E26" s="2">
        <v>6</v>
      </c>
      <c r="F26" s="2">
        <v>444</v>
      </c>
      <c r="G26" s="2">
        <v>511</v>
      </c>
      <c r="H26" s="4">
        <f t="shared" si="0"/>
        <v>0.857142857142857</v>
      </c>
      <c r="I26" s="4">
        <f t="shared" si="1"/>
        <v>1.1509009009009</v>
      </c>
      <c r="J26" s="7">
        <f ca="1">F26-IFERROR(VLOOKUP($A26,'0506'!$A$1:'0506'!G$48,6,FALSE),IFERROR(VLOOKUP($C26,'0506'!$C$1:'0506'!G$48,4,FALSE),F26-D26))</f>
        <v>2</v>
      </c>
      <c r="K26" s="8">
        <f ca="1">G26-IFERROR(VLOOKUP($A26,'0506'!$A$1:'0506'!H$44,7,FALSE),IFERROR(VLOOKUP($C26,'0506'!$C$1:'0506'!H$44,5,FALSE),G26-E26))</f>
        <v>0</v>
      </c>
      <c r="L26" s="4">
        <f ca="1" t="shared" si="2"/>
        <v>0</v>
      </c>
      <c r="M26" s="2" t="s">
        <v>74</v>
      </c>
    </row>
    <row r="27" s="2" customFormat="1" spans="1:13">
      <c r="A27" s="2" t="s">
        <v>70</v>
      </c>
      <c r="B27" s="2" t="s">
        <v>10</v>
      </c>
      <c r="C27" s="9">
        <v>45751</v>
      </c>
      <c r="D27" s="2">
        <v>31</v>
      </c>
      <c r="E27" s="2">
        <v>8</v>
      </c>
      <c r="F27" s="2">
        <v>182</v>
      </c>
      <c r="G27" s="2">
        <v>266</v>
      </c>
      <c r="H27" s="4">
        <f t="shared" si="0"/>
        <v>0.258064516129032</v>
      </c>
      <c r="I27" s="4">
        <f t="shared" si="1"/>
        <v>1.46153846153846</v>
      </c>
      <c r="J27" s="7">
        <f ca="1">F27-IFERROR(VLOOKUP($A27,'0506'!$A$1:'0506'!G$48,6,FALSE),IFERROR(VLOOKUP($C27,'0506'!$C$1:'0506'!G$48,4,FALSE),F27-D27))</f>
        <v>9</v>
      </c>
      <c r="K27" s="8">
        <f ca="1">G27-IFERROR(VLOOKUP($A27,'0506'!$A$1:'0506'!H$44,7,FALSE),IFERROR(VLOOKUP($C27,'0506'!$C$1:'0506'!H$44,5,FALSE),G27-E27))</f>
        <v>0</v>
      </c>
      <c r="L27" s="4">
        <f ca="1" t="shared" si="2"/>
        <v>0</v>
      </c>
      <c r="M27" s="2" t="s">
        <v>71</v>
      </c>
    </row>
    <row r="28" s="2" customFormat="1" spans="1:13">
      <c r="A28" s="2" t="s">
        <v>48</v>
      </c>
      <c r="B28" s="2" t="s">
        <v>10</v>
      </c>
      <c r="C28" s="9">
        <v>45750</v>
      </c>
      <c r="D28" s="2">
        <v>6</v>
      </c>
      <c r="E28" s="2">
        <v>12</v>
      </c>
      <c r="F28" s="2">
        <v>229</v>
      </c>
      <c r="G28" s="2">
        <v>542</v>
      </c>
      <c r="H28" s="4">
        <f t="shared" si="0"/>
        <v>2</v>
      </c>
      <c r="I28" s="4">
        <f t="shared" si="1"/>
        <v>2.36681222707424</v>
      </c>
      <c r="J28" s="7">
        <f ca="1">F28-IFERROR(VLOOKUP($A28,'0506'!$A$1:'0506'!G$48,6,FALSE),IFERROR(VLOOKUP($C28,'0506'!$C$1:'0506'!G$48,4,FALSE),F28-D28))</f>
        <v>0</v>
      </c>
      <c r="K28" s="8">
        <f ca="1">G28-IFERROR(VLOOKUP($A28,'0506'!$A$1:'0506'!H$44,7,FALSE),IFERROR(VLOOKUP($C28,'0506'!$C$1:'0506'!H$44,5,FALSE),G28-E28))</f>
        <v>0</v>
      </c>
      <c r="L28" s="4">
        <f ca="1" t="shared" si="2"/>
        <v>0</v>
      </c>
      <c r="M28" s="2" t="s">
        <v>49</v>
      </c>
    </row>
    <row r="29" s="2" customFormat="1" spans="1:13">
      <c r="A29" s="2" t="s">
        <v>50</v>
      </c>
      <c r="B29" s="2" t="s">
        <v>10</v>
      </c>
      <c r="C29" s="9">
        <v>45748</v>
      </c>
      <c r="D29" s="2">
        <v>35</v>
      </c>
      <c r="E29" s="2">
        <v>5</v>
      </c>
      <c r="F29" s="2">
        <v>224494</v>
      </c>
      <c r="G29" s="2">
        <v>10598</v>
      </c>
      <c r="H29" s="4">
        <f t="shared" si="0"/>
        <v>0.142857142857143</v>
      </c>
      <c r="I29" s="4">
        <f t="shared" si="1"/>
        <v>0.0472083886429036</v>
      </c>
      <c r="J29" s="7">
        <f ca="1">F29-IFERROR(VLOOKUP($A29,'0506'!$A$1:'0506'!G$48,6,FALSE),IFERROR(VLOOKUP($C29,'0506'!$C$1:'0506'!G$48,4,FALSE),F29-D29))</f>
        <v>4</v>
      </c>
      <c r="K29" s="8">
        <f ca="1">G29-IFERROR(VLOOKUP($A29,'0506'!$A$1:'0506'!H$44,7,FALSE),IFERROR(VLOOKUP($C29,'0506'!$C$1:'0506'!H$44,5,FALSE),G29-E29))</f>
        <v>0</v>
      </c>
      <c r="L29" s="4">
        <f ca="1" t="shared" si="2"/>
        <v>0</v>
      </c>
      <c r="M29" s="2" t="s">
        <v>78</v>
      </c>
    </row>
    <row r="30" s="2" customFormat="1" spans="1:13">
      <c r="A30" s="2" t="s">
        <v>52</v>
      </c>
      <c r="B30" s="2" t="s">
        <v>10</v>
      </c>
      <c r="C30" s="9">
        <v>45743</v>
      </c>
      <c r="D30" s="2">
        <v>58</v>
      </c>
      <c r="E30" s="2">
        <v>20</v>
      </c>
      <c r="F30" s="2">
        <v>4924</v>
      </c>
      <c r="G30" s="2">
        <v>1996</v>
      </c>
      <c r="H30" s="4">
        <f t="shared" si="0"/>
        <v>0.344827586206897</v>
      </c>
      <c r="I30" s="4">
        <f t="shared" si="1"/>
        <v>0.40536149471974</v>
      </c>
      <c r="J30" s="7">
        <f ca="1">F30-IFERROR(VLOOKUP($A30,'0506'!$A$1:'0506'!G$48,6,FALSE),IFERROR(VLOOKUP($C30,'0506'!$C$1:'0506'!G$48,4,FALSE),F30-D30))</f>
        <v>8</v>
      </c>
      <c r="K30" s="8">
        <f ca="1">G30-IFERROR(VLOOKUP($A30,'0506'!$A$1:'0506'!H$44,7,FALSE),IFERROR(VLOOKUP($C30,'0506'!$C$1:'0506'!H$44,5,FALSE),G30-E30))</f>
        <v>0</v>
      </c>
      <c r="L30" s="4">
        <f ca="1" t="shared" si="2"/>
        <v>0</v>
      </c>
      <c r="M30" s="2" t="s">
        <v>53</v>
      </c>
    </row>
    <row r="31" s="2" customFormat="1" spans="1:13">
      <c r="A31" s="2" t="s">
        <v>54</v>
      </c>
      <c r="B31" s="2" t="s">
        <v>10</v>
      </c>
      <c r="C31" s="9">
        <v>45741</v>
      </c>
      <c r="D31" s="2">
        <v>79</v>
      </c>
      <c r="E31" s="2">
        <v>10</v>
      </c>
      <c r="F31" s="2">
        <v>1259</v>
      </c>
      <c r="G31" s="2">
        <v>687</v>
      </c>
      <c r="H31" s="4">
        <f t="shared" si="0"/>
        <v>0.126582278481013</v>
      </c>
      <c r="I31" s="4">
        <f t="shared" si="1"/>
        <v>0.545671167593328</v>
      </c>
      <c r="J31" s="7">
        <f ca="1">F31-IFERROR(VLOOKUP($A31,'0506'!$A$1:'0506'!G$48,6,FALSE),IFERROR(VLOOKUP($C31,'0506'!$C$1:'0506'!G$48,4,FALSE),F31-D31))</f>
        <v>10</v>
      </c>
      <c r="K31" s="8">
        <f ca="1">G31-IFERROR(VLOOKUP($A31,'0506'!$A$1:'0506'!H$44,7,FALSE),IFERROR(VLOOKUP($C31,'0506'!$C$1:'0506'!H$44,5,FALSE),G31-E31))</f>
        <v>0</v>
      </c>
      <c r="L31" s="4">
        <f ca="1" t="shared" si="2"/>
        <v>0</v>
      </c>
      <c r="M31" s="13" t="s">
        <v>55</v>
      </c>
    </row>
    <row r="32" s="2" customFormat="1" spans="1:13">
      <c r="A32" s="2" t="s">
        <v>56</v>
      </c>
      <c r="B32" s="2" t="s">
        <v>10</v>
      </c>
      <c r="C32" s="9">
        <v>45734</v>
      </c>
      <c r="D32" s="2">
        <v>23</v>
      </c>
      <c r="E32" s="2">
        <v>5</v>
      </c>
      <c r="F32" s="2">
        <v>507</v>
      </c>
      <c r="G32" s="2">
        <v>675</v>
      </c>
      <c r="H32" s="4">
        <f t="shared" si="0"/>
        <v>0.217391304347826</v>
      </c>
      <c r="I32" s="4">
        <f t="shared" si="1"/>
        <v>1.33136094674556</v>
      </c>
      <c r="J32" s="7">
        <f ca="1">F32-IFERROR(VLOOKUP($A32,'0506'!$A$1:'0506'!G$48,6,FALSE),IFERROR(VLOOKUP($C32,'0506'!$C$1:'0506'!G$48,4,FALSE),F32-D32))</f>
        <v>3</v>
      </c>
      <c r="K32" s="8">
        <f ca="1">G32-IFERROR(VLOOKUP($A32,'0506'!$A$1:'0506'!H$44,7,FALSE),IFERROR(VLOOKUP($C32,'0506'!$C$1:'0506'!H$44,5,FALSE),G32-E32))</f>
        <v>0</v>
      </c>
      <c r="L32" s="4">
        <f ca="1" t="shared" si="2"/>
        <v>0</v>
      </c>
      <c r="M32" s="2" t="s">
        <v>79</v>
      </c>
    </row>
    <row r="33" s="2" customFormat="1" spans="1:13">
      <c r="A33" s="2" t="s">
        <v>75</v>
      </c>
      <c r="B33" s="2" t="s">
        <v>10</v>
      </c>
      <c r="C33" s="9">
        <v>45720</v>
      </c>
      <c r="D33" s="2">
        <v>17</v>
      </c>
      <c r="E33" s="2">
        <v>3</v>
      </c>
      <c r="F33" s="2">
        <v>374</v>
      </c>
      <c r="G33" s="2">
        <v>275</v>
      </c>
      <c r="H33" s="4">
        <f t="shared" si="0"/>
        <v>0.176470588235294</v>
      </c>
      <c r="I33" s="4">
        <f t="shared" si="1"/>
        <v>0.735294117647059</v>
      </c>
      <c r="J33" s="7">
        <f ca="1">F33-IFERROR(VLOOKUP($A33,'0506'!$A$1:'0506'!G$48,6,FALSE),IFERROR(VLOOKUP($C33,'0506'!$C$1:'0506'!G$48,4,FALSE),F33-D33))</f>
        <v>0</v>
      </c>
      <c r="K33" s="8">
        <f ca="1">G33-IFERROR(VLOOKUP($A33,'0506'!$A$1:'0506'!H$44,7,FALSE),IFERROR(VLOOKUP($C33,'0506'!$C$1:'0506'!H$44,5,FALSE),G33-E33))</f>
        <v>0</v>
      </c>
      <c r="L33" s="4">
        <f ca="1" t="shared" si="2"/>
        <v>0</v>
      </c>
      <c r="M33" s="13" t="s">
        <v>76</v>
      </c>
    </row>
    <row r="34" s="2" customFormat="1" spans="1:13">
      <c r="A34" s="2" t="s">
        <v>58</v>
      </c>
      <c r="B34" s="2" t="s">
        <v>10</v>
      </c>
      <c r="C34" s="9">
        <v>45719</v>
      </c>
      <c r="D34" s="2">
        <v>6</v>
      </c>
      <c r="E34" s="2">
        <v>10</v>
      </c>
      <c r="F34" s="2">
        <v>380</v>
      </c>
      <c r="G34" s="2">
        <v>657</v>
      </c>
      <c r="H34" s="4">
        <f t="shared" si="0"/>
        <v>1.66666666666667</v>
      </c>
      <c r="I34" s="4">
        <f t="shared" si="1"/>
        <v>1.72894736842105</v>
      </c>
      <c r="J34" s="7">
        <f ca="1">F34-IFERROR(VLOOKUP($A34,'0506'!$A$1:'0506'!G$48,6,FALSE),IFERROR(VLOOKUP($C34,'0506'!$C$1:'0506'!G$48,4,FALSE),F34-D34))</f>
        <v>0</v>
      </c>
      <c r="K34" s="8">
        <f ca="1">G34-IFERROR(VLOOKUP($A34,'0506'!$A$1:'0506'!H$44,7,FALSE),IFERROR(VLOOKUP($C34,'0506'!$C$1:'0506'!H$44,5,FALSE),G34-E34))</f>
        <v>0</v>
      </c>
      <c r="L34" s="4">
        <f ca="1" t="shared" si="2"/>
        <v>0</v>
      </c>
      <c r="M34" s="2" t="s">
        <v>59</v>
      </c>
    </row>
    <row r="35" s="2" customFormat="1" spans="1:13">
      <c r="A35" s="2" t="s">
        <v>60</v>
      </c>
      <c r="B35" s="2" t="s">
        <v>10</v>
      </c>
      <c r="C35" s="9">
        <v>45713</v>
      </c>
      <c r="D35" s="2">
        <v>6</v>
      </c>
      <c r="E35" s="2">
        <v>31</v>
      </c>
      <c r="F35" s="2">
        <v>226</v>
      </c>
      <c r="G35" s="2">
        <v>589</v>
      </c>
      <c r="H35" s="4">
        <f t="shared" si="0"/>
        <v>5.16666666666667</v>
      </c>
      <c r="I35" s="4">
        <f t="shared" si="1"/>
        <v>2.60619469026549</v>
      </c>
      <c r="J35" s="7">
        <f ca="1">F35-IFERROR(VLOOKUP($A35,'0506'!$A$1:'0506'!G$48,6,FALSE),IFERROR(VLOOKUP($C35,'0506'!$C$1:'0506'!G$48,4,FALSE),F35-D35))</f>
        <v>0</v>
      </c>
      <c r="K35" s="8">
        <f ca="1">G35-IFERROR(VLOOKUP($A35,'0506'!$A$1:'0506'!H$44,7,FALSE),IFERROR(VLOOKUP($C35,'0506'!$C$1:'0506'!H$44,5,FALSE),G35-E35))</f>
        <v>0</v>
      </c>
      <c r="L35" s="4">
        <f ca="1" t="shared" si="2"/>
        <v>0</v>
      </c>
      <c r="M35" s="2" t="s">
        <v>61</v>
      </c>
    </row>
    <row r="36" spans="11:11">
      <c r="K36" s="2">
        <f ca="1">SUM(K2:K35)</f>
        <v>459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topLeftCell="A4" workbookViewId="0">
      <selection activeCell="A27" sqref="$A27:$XFD27"/>
    </sheetView>
  </sheetViews>
  <sheetFormatPr defaultColWidth="10" defaultRowHeight="14.4"/>
  <cols>
    <col min="1" max="1" width="52.3333333333333" style="2" customWidth="1"/>
    <col min="2" max="2" width="10" style="2" hidden="1" customWidth="1"/>
    <col min="3" max="3" width="10" style="2"/>
    <col min="4" max="7" width="6" style="2" customWidth="1"/>
    <col min="8" max="9" width="6.77777777777778" style="2" customWidth="1"/>
    <col min="10" max="10" width="7.66666666666667" style="2" customWidth="1"/>
    <col min="11" max="12" width="6.77777777777778" style="2" customWidth="1"/>
    <col min="13" max="13" width="18.6666666666667" style="2" customWidth="1"/>
    <col min="14" max="14" width="19.6666666666667" style="2" customWidth="1"/>
    <col min="15" max="16384" width="10" style="2"/>
  </cols>
  <sheetData>
    <row r="1" s="2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J1" s="5" t="s">
        <v>7</v>
      </c>
      <c r="K1" s="5" t="s">
        <v>8</v>
      </c>
    </row>
    <row r="2" s="2" customFormat="1" spans="1:12">
      <c r="A2" s="2" t="s">
        <v>83</v>
      </c>
      <c r="B2" s="2" t="s">
        <v>10</v>
      </c>
      <c r="C2" s="9">
        <v>45784</v>
      </c>
      <c r="D2" s="2">
        <v>140</v>
      </c>
      <c r="E2" s="2">
        <v>306</v>
      </c>
      <c r="F2" s="2">
        <v>140</v>
      </c>
      <c r="G2" s="2">
        <v>306</v>
      </c>
      <c r="H2" s="4">
        <f t="shared" ref="H2:H35" si="0">E2/D2</f>
        <v>2.18571428571429</v>
      </c>
      <c r="I2" s="4">
        <f t="shared" ref="I2:I35" si="1">G2/F2</f>
        <v>2.18571428571429</v>
      </c>
      <c r="J2" s="7">
        <f ca="1">F2-IFERROR(VLOOKUP($A2,'0507'!$A$1:'0507'!G$48,6,FALSE),IFERROR(VLOOKUP($C2,'0507'!$C$1:'0507'!G$48,4,FALSE),F2-D2))</f>
        <v>140</v>
      </c>
      <c r="K2" s="8">
        <f ca="1">G2-IFERROR(VLOOKUP($A2,'0507'!$A$1:'0507'!H$44,7,FALSE),IFERROR(VLOOKUP($C2,'0507'!$C$1:'0507'!H$44,5,FALSE),G2-E2))</f>
        <v>306</v>
      </c>
      <c r="L2" s="4">
        <f ca="1" t="shared" ref="L2:L35" si="2">IFERROR(K2/J2,)</f>
        <v>2.18571428571429</v>
      </c>
    </row>
    <row r="3" s="2" customFormat="1" spans="1:12">
      <c r="A3" s="2" t="s">
        <v>80</v>
      </c>
      <c r="B3" s="2" t="s">
        <v>10</v>
      </c>
      <c r="C3" s="9">
        <v>45783</v>
      </c>
      <c r="D3" s="2">
        <v>136</v>
      </c>
      <c r="E3" s="2">
        <v>200</v>
      </c>
      <c r="F3" s="2">
        <v>136</v>
      </c>
      <c r="G3" s="2">
        <v>200</v>
      </c>
      <c r="H3" s="4">
        <f t="shared" si="0"/>
        <v>1.47058823529412</v>
      </c>
      <c r="I3" s="4">
        <f t="shared" si="1"/>
        <v>1.47058823529412</v>
      </c>
      <c r="J3" s="7">
        <f ca="1">F3-IFERROR(VLOOKUP($A3,'0507'!$A$1:'0507'!G$48,6,FALSE),IFERROR(VLOOKUP($C3,'0507'!$C$1:'0507'!G$48,4,FALSE),F3-D3))</f>
        <v>54</v>
      </c>
      <c r="K3" s="8">
        <f ca="1">G3-IFERROR(VLOOKUP($A3,'0507'!$A$1:'0507'!H$44,7,FALSE),IFERROR(VLOOKUP($C3,'0507'!$C$1:'0507'!H$44,5,FALSE),G3-E3))</f>
        <v>86</v>
      </c>
      <c r="L3" s="4">
        <f ca="1" t="shared" si="2"/>
        <v>1.59259259259259</v>
      </c>
    </row>
    <row r="4" s="2" customFormat="1" spans="1:12">
      <c r="A4" s="2" t="s">
        <v>81</v>
      </c>
      <c r="B4" s="2" t="s">
        <v>10</v>
      </c>
      <c r="C4" s="9">
        <v>45783</v>
      </c>
      <c r="D4" s="2">
        <v>112</v>
      </c>
      <c r="E4" s="2">
        <v>203</v>
      </c>
      <c r="F4" s="2">
        <v>112</v>
      </c>
      <c r="G4" s="2">
        <v>203</v>
      </c>
      <c r="H4" s="4">
        <f t="shared" si="0"/>
        <v>1.8125</v>
      </c>
      <c r="I4" s="4">
        <f t="shared" si="1"/>
        <v>1.8125</v>
      </c>
      <c r="J4" s="7">
        <f ca="1">F4-IFERROR(VLOOKUP($A4,'0507'!$A$1:'0507'!G$48,6,FALSE),IFERROR(VLOOKUP($C4,'0507'!$C$1:'0507'!G$48,4,FALSE),F4-D4))</f>
        <v>23</v>
      </c>
      <c r="K4" s="8">
        <f ca="1">G4-IFERROR(VLOOKUP($A4,'0507'!$A$1:'0507'!H$44,7,FALSE),IFERROR(VLOOKUP($C4,'0507'!$C$1:'0507'!H$44,5,FALSE),G4-E4))</f>
        <v>58</v>
      </c>
      <c r="L4" s="4">
        <f ca="1" t="shared" si="2"/>
        <v>2.52173913043478</v>
      </c>
    </row>
    <row r="5" s="2" customFormat="1" spans="1:12">
      <c r="A5" s="2" t="s">
        <v>77</v>
      </c>
      <c r="B5" s="2" t="s">
        <v>10</v>
      </c>
      <c r="C5" s="9">
        <v>45782</v>
      </c>
      <c r="D5" s="2">
        <v>253</v>
      </c>
      <c r="E5" s="2">
        <v>204</v>
      </c>
      <c r="F5" s="2">
        <v>253</v>
      </c>
      <c r="G5" s="2">
        <v>204</v>
      </c>
      <c r="H5" s="4">
        <f t="shared" si="0"/>
        <v>0.806324110671937</v>
      </c>
      <c r="I5" s="4">
        <f t="shared" si="1"/>
        <v>0.806324110671937</v>
      </c>
      <c r="J5" s="7">
        <f ca="1">F5-IFERROR(VLOOKUP($A5,'0507'!$A$1:'0507'!G$48,6,FALSE),IFERROR(VLOOKUP($C5,'0507'!$C$1:'0507'!G$48,4,FALSE),F5-D5))</f>
        <v>56</v>
      </c>
      <c r="K5" s="8">
        <f ca="1">G5-IFERROR(VLOOKUP($A5,'0507'!$A$1:'0507'!H$44,7,FALSE),IFERROR(VLOOKUP($C5,'0507'!$C$1:'0507'!H$44,5,FALSE),G5-E5))</f>
        <v>21</v>
      </c>
      <c r="L5" s="4">
        <f ca="1" t="shared" si="2"/>
        <v>0.375</v>
      </c>
    </row>
    <row r="6" s="2" customFormat="1" spans="1:12">
      <c r="A6" s="2" t="s">
        <v>72</v>
      </c>
      <c r="B6" s="2" t="s">
        <v>10</v>
      </c>
      <c r="C6" s="9">
        <v>45781</v>
      </c>
      <c r="D6" s="2">
        <v>231</v>
      </c>
      <c r="E6" s="2">
        <v>584</v>
      </c>
      <c r="F6" s="2">
        <v>231</v>
      </c>
      <c r="G6" s="2">
        <v>584</v>
      </c>
      <c r="H6" s="4">
        <f t="shared" si="0"/>
        <v>2.52813852813853</v>
      </c>
      <c r="I6" s="4">
        <f t="shared" si="1"/>
        <v>2.52813852813853</v>
      </c>
      <c r="J6" s="7">
        <f ca="1">F6-IFERROR(VLOOKUP($A6,'0507'!$A$1:'0507'!G$48,6,FALSE),IFERROR(VLOOKUP($C6,'0507'!$C$1:'0507'!G$48,4,FALSE),F6-D6))</f>
        <v>62</v>
      </c>
      <c r="K6" s="8">
        <f ca="1">G6-IFERROR(VLOOKUP($A6,'0507'!$A$1:'0507'!H$44,7,FALSE),IFERROR(VLOOKUP($C6,'0507'!$C$1:'0507'!H$44,5,FALSE),G6-E6))</f>
        <v>38</v>
      </c>
      <c r="L6" s="4">
        <f ca="1" t="shared" si="2"/>
        <v>0.612903225806452</v>
      </c>
    </row>
    <row r="7" s="2" customFormat="1" spans="1:12">
      <c r="A7" s="2" t="s">
        <v>69</v>
      </c>
      <c r="B7" s="2" t="s">
        <v>10</v>
      </c>
      <c r="C7" s="9">
        <v>45780</v>
      </c>
      <c r="D7" s="2">
        <v>1133</v>
      </c>
      <c r="E7" s="2">
        <v>525</v>
      </c>
      <c r="F7" s="2">
        <v>1133</v>
      </c>
      <c r="G7" s="2">
        <v>525</v>
      </c>
      <c r="H7" s="4">
        <f t="shared" si="0"/>
        <v>0.463371579876434</v>
      </c>
      <c r="I7" s="4">
        <f t="shared" si="1"/>
        <v>0.463371579876434</v>
      </c>
      <c r="J7" s="7">
        <f ca="1">F7-IFERROR(VLOOKUP($A7,'0507'!$A$1:'0507'!G$48,6,FALSE),IFERROR(VLOOKUP($C7,'0507'!$C$1:'0507'!G$48,4,FALSE),F7-D7))</f>
        <v>41</v>
      </c>
      <c r="K7" s="8">
        <f ca="1">G7-IFERROR(VLOOKUP($A7,'0507'!$A$1:'0507'!H$44,7,FALSE),IFERROR(VLOOKUP($C7,'0507'!$C$1:'0507'!H$44,5,FALSE),G7-E7))</f>
        <v>12</v>
      </c>
      <c r="L7" s="4">
        <f ca="1" t="shared" si="2"/>
        <v>0.292682926829268</v>
      </c>
    </row>
    <row r="8" s="2" customFormat="1" spans="1:12">
      <c r="A8" s="2" t="s">
        <v>68</v>
      </c>
      <c r="B8" s="2" t="s">
        <v>10</v>
      </c>
      <c r="C8" s="9">
        <v>45779</v>
      </c>
      <c r="D8" s="2">
        <v>171</v>
      </c>
      <c r="E8" s="2">
        <v>147</v>
      </c>
      <c r="F8" s="2">
        <v>171</v>
      </c>
      <c r="G8" s="2">
        <v>147</v>
      </c>
      <c r="H8" s="4">
        <f t="shared" si="0"/>
        <v>0.859649122807018</v>
      </c>
      <c r="I8" s="4">
        <f t="shared" si="1"/>
        <v>0.859649122807018</v>
      </c>
      <c r="J8" s="7">
        <f ca="1">F8-IFERROR(VLOOKUP($A8,'0507'!$A$1:'0507'!G$48,6,FALSE),IFERROR(VLOOKUP($C8,'0507'!$C$1:'0507'!G$48,4,FALSE),F8-D8))</f>
        <v>5</v>
      </c>
      <c r="K8" s="8">
        <f ca="1">G8-IFERROR(VLOOKUP($A8,'0507'!$A$1:'0507'!H$44,7,FALSE),IFERROR(VLOOKUP($C8,'0507'!$C$1:'0507'!H$44,5,FALSE),G8-E8))</f>
        <v>8</v>
      </c>
      <c r="L8" s="4">
        <f ca="1" t="shared" si="2"/>
        <v>1.6</v>
      </c>
    </row>
    <row r="9" s="2" customFormat="1" spans="1:12">
      <c r="A9" s="2" t="s">
        <v>66</v>
      </c>
      <c r="B9" s="2" t="s">
        <v>10</v>
      </c>
      <c r="C9" s="9">
        <v>45778</v>
      </c>
      <c r="D9" s="2">
        <v>375</v>
      </c>
      <c r="E9" s="2">
        <v>168</v>
      </c>
      <c r="F9" s="2">
        <v>375</v>
      </c>
      <c r="G9" s="2">
        <v>168</v>
      </c>
      <c r="H9" s="4">
        <f t="shared" si="0"/>
        <v>0.448</v>
      </c>
      <c r="I9" s="4">
        <f t="shared" si="1"/>
        <v>0.448</v>
      </c>
      <c r="J9" s="7">
        <f ca="1">F9-IFERROR(VLOOKUP($A9,'0507'!$A$1:'0507'!G$48,6,FALSE),IFERROR(VLOOKUP($C9,'0507'!$C$1:'0507'!G$48,4,FALSE),F9-D9))</f>
        <v>7</v>
      </c>
      <c r="K9" s="8">
        <f ca="1">G9-IFERROR(VLOOKUP($A9,'0507'!$A$1:'0507'!H$44,7,FALSE),IFERROR(VLOOKUP($C9,'0507'!$C$1:'0507'!H$44,5,FALSE),G9-E9))</f>
        <v>14</v>
      </c>
      <c r="L9" s="4">
        <f ca="1" t="shared" si="2"/>
        <v>2</v>
      </c>
    </row>
    <row r="10" s="2" customFormat="1" spans="1:13">
      <c r="A10" s="2" t="s">
        <v>9</v>
      </c>
      <c r="B10" s="2" t="s">
        <v>10</v>
      </c>
      <c r="C10" s="9">
        <v>45777</v>
      </c>
      <c r="D10" s="2">
        <v>144</v>
      </c>
      <c r="E10" s="2">
        <v>78</v>
      </c>
      <c r="F10" s="2">
        <v>236</v>
      </c>
      <c r="G10" s="2">
        <v>304</v>
      </c>
      <c r="H10" s="4">
        <f t="shared" si="0"/>
        <v>0.541666666666667</v>
      </c>
      <c r="I10" s="4">
        <f t="shared" si="1"/>
        <v>1.28813559322034</v>
      </c>
      <c r="J10" s="7">
        <f ca="1">F10-IFERROR(VLOOKUP($A10,'0507'!$A$1:'0507'!G$48,6,FALSE),IFERROR(VLOOKUP($C10,'0507'!$C$1:'0507'!G$48,4,FALSE),F10-D10))</f>
        <v>6</v>
      </c>
      <c r="K10" s="8">
        <f ca="1">G10-IFERROR(VLOOKUP($A10,'0507'!$A$1:'0507'!H$44,7,FALSE),IFERROR(VLOOKUP($C10,'0507'!$C$1:'0507'!H$44,5,FALSE),G10-E10))</f>
        <v>14</v>
      </c>
      <c r="L10" s="4">
        <f ca="1" t="shared" si="2"/>
        <v>2.33333333333333</v>
      </c>
      <c r="M10" s="2" t="s">
        <v>84</v>
      </c>
    </row>
    <row r="11" s="2" customFormat="1" spans="1:13">
      <c r="A11" s="2" t="s">
        <v>11</v>
      </c>
      <c r="B11" s="2" t="s">
        <v>10</v>
      </c>
      <c r="C11" s="9">
        <v>45777</v>
      </c>
      <c r="D11" s="2">
        <v>84</v>
      </c>
      <c r="E11" s="2">
        <v>462</v>
      </c>
      <c r="F11" s="2">
        <v>145</v>
      </c>
      <c r="G11" s="2">
        <v>627</v>
      </c>
      <c r="H11" s="4">
        <f t="shared" si="0"/>
        <v>5.5</v>
      </c>
      <c r="I11" s="4">
        <f t="shared" si="1"/>
        <v>4.32413793103448</v>
      </c>
      <c r="J11" s="7">
        <f ca="1">F11-IFERROR(VLOOKUP($A11,'0507'!$A$1:'0507'!G$48,6,FALSE),IFERROR(VLOOKUP($C11,'0507'!$C$1:'0507'!G$48,4,FALSE),F11-D11))</f>
        <v>11</v>
      </c>
      <c r="K11" s="8">
        <f ca="1">G11-IFERROR(VLOOKUP($A11,'0507'!$A$1:'0507'!H$44,7,FALSE),IFERROR(VLOOKUP($C11,'0507'!$C$1:'0507'!H$44,5,FALSE),G11-E11))</f>
        <v>64</v>
      </c>
      <c r="L11" s="4">
        <f ca="1" t="shared" si="2"/>
        <v>5.81818181818182</v>
      </c>
      <c r="M11" s="2" t="s">
        <v>67</v>
      </c>
    </row>
    <row r="12" s="2" customFormat="1" spans="1:12">
      <c r="A12" s="2" t="s">
        <v>12</v>
      </c>
      <c r="B12" s="2" t="s">
        <v>10</v>
      </c>
      <c r="C12" s="9">
        <v>45776</v>
      </c>
      <c r="D12" s="2">
        <v>297</v>
      </c>
      <c r="E12" s="2">
        <v>29</v>
      </c>
      <c r="F12" s="2">
        <v>647</v>
      </c>
      <c r="G12" s="2">
        <v>397</v>
      </c>
      <c r="H12" s="4">
        <f t="shared" si="0"/>
        <v>0.0976430976430976</v>
      </c>
      <c r="I12" s="4">
        <f t="shared" si="1"/>
        <v>0.613601236476043</v>
      </c>
      <c r="J12" s="7">
        <f ca="1">F12-IFERROR(VLOOKUP($A12,'0507'!$A$1:'0507'!G$48,6,FALSE),IFERROR(VLOOKUP($C12,'0507'!$C$1:'0507'!G$48,4,FALSE),F12-D12))</f>
        <v>6</v>
      </c>
      <c r="K12" s="8">
        <f ca="1">G12-IFERROR(VLOOKUP($A12,'0507'!$A$1:'0507'!H$44,7,FALSE),IFERROR(VLOOKUP($C12,'0507'!$C$1:'0507'!H$44,5,FALSE),G12-E12))</f>
        <v>4</v>
      </c>
      <c r="L12" s="4">
        <f ca="1" t="shared" si="2"/>
        <v>0.666666666666667</v>
      </c>
    </row>
    <row r="13" s="2" customFormat="1" spans="1:12">
      <c r="A13" s="2" t="s">
        <v>13</v>
      </c>
      <c r="B13" s="2" t="s">
        <v>10</v>
      </c>
      <c r="C13" s="9">
        <v>45775</v>
      </c>
      <c r="D13" s="2">
        <v>47</v>
      </c>
      <c r="E13" s="2">
        <v>34</v>
      </c>
      <c r="F13" s="2">
        <v>247</v>
      </c>
      <c r="G13" s="2">
        <v>311</v>
      </c>
      <c r="H13" s="4">
        <f t="shared" si="0"/>
        <v>0.723404255319149</v>
      </c>
      <c r="I13" s="4">
        <f t="shared" si="1"/>
        <v>1.25910931174089</v>
      </c>
      <c r="J13" s="7">
        <f ca="1">F13-IFERROR(VLOOKUP($A13,'0507'!$A$1:'0507'!G$48,6,FALSE),IFERROR(VLOOKUP($C13,'0507'!$C$1:'0507'!G$48,4,FALSE),F13-D13))</f>
        <v>5</v>
      </c>
      <c r="K13" s="8">
        <f ca="1">G13-IFERROR(VLOOKUP($A13,'0507'!$A$1:'0507'!H$44,7,FALSE),IFERROR(VLOOKUP($C13,'0507'!$C$1:'0507'!H$44,5,FALSE),G13-E13))</f>
        <v>0</v>
      </c>
      <c r="L13" s="4">
        <f ca="1" t="shared" si="2"/>
        <v>0</v>
      </c>
    </row>
    <row r="14" s="2" customFormat="1" spans="1:12">
      <c r="A14" s="2" t="s">
        <v>16</v>
      </c>
      <c r="B14" s="2" t="s">
        <v>10</v>
      </c>
      <c r="C14" s="9">
        <v>45774</v>
      </c>
      <c r="D14" s="2">
        <v>35</v>
      </c>
      <c r="E14" s="2">
        <v>8</v>
      </c>
      <c r="F14" s="2">
        <v>407</v>
      </c>
      <c r="G14" s="2">
        <v>371</v>
      </c>
      <c r="H14" s="4">
        <f t="shared" si="0"/>
        <v>0.228571428571429</v>
      </c>
      <c r="I14" s="4">
        <f t="shared" si="1"/>
        <v>0.911547911547912</v>
      </c>
      <c r="J14" s="7">
        <f ca="1">F14-IFERROR(VLOOKUP($A14,'0507'!$A$1:'0507'!G$48,6,FALSE),IFERROR(VLOOKUP($C14,'0507'!$C$1:'0507'!G$48,4,FALSE),F14-D14))</f>
        <v>1</v>
      </c>
      <c r="K14" s="8">
        <f ca="1">G14-IFERROR(VLOOKUP($A14,'0507'!$A$1:'0507'!H$44,7,FALSE),IFERROR(VLOOKUP($C14,'0507'!$C$1:'0507'!H$44,5,FALSE),G14-E14))</f>
        <v>0</v>
      </c>
      <c r="L14" s="4">
        <f ca="1" t="shared" si="2"/>
        <v>0</v>
      </c>
    </row>
    <row r="15" s="2" customFormat="1" spans="1:12">
      <c r="A15" s="2" t="s">
        <v>18</v>
      </c>
      <c r="B15" s="2" t="s">
        <v>10</v>
      </c>
      <c r="C15" s="9">
        <v>45773</v>
      </c>
      <c r="D15" s="2">
        <v>12</v>
      </c>
      <c r="E15" s="2">
        <v>6</v>
      </c>
      <c r="F15" s="2">
        <v>227</v>
      </c>
      <c r="G15" s="2">
        <v>247</v>
      </c>
      <c r="H15" s="4">
        <f t="shared" si="0"/>
        <v>0.5</v>
      </c>
      <c r="I15" s="4">
        <f t="shared" si="1"/>
        <v>1.08810572687225</v>
      </c>
      <c r="J15" s="7">
        <f ca="1">F15-IFERROR(VLOOKUP($A15,'0507'!$A$1:'0507'!G$48,6,FALSE),IFERROR(VLOOKUP($C15,'0507'!$C$1:'0507'!G$48,4,FALSE),F15-D15))</f>
        <v>1</v>
      </c>
      <c r="K15" s="8">
        <f ca="1">G15-IFERROR(VLOOKUP($A15,'0507'!$A$1:'0507'!H$44,7,FALSE),IFERROR(VLOOKUP($C15,'0507'!$C$1:'0507'!H$44,5,FALSE),G15-E15))</f>
        <v>0</v>
      </c>
      <c r="L15" s="4">
        <f ca="1" t="shared" si="2"/>
        <v>0</v>
      </c>
    </row>
    <row r="16" s="2" customFormat="1" spans="1:13">
      <c r="A16" s="2" t="s">
        <v>19</v>
      </c>
      <c r="B16" s="2" t="s">
        <v>10</v>
      </c>
      <c r="C16" s="9">
        <v>45772</v>
      </c>
      <c r="D16" s="2">
        <v>79</v>
      </c>
      <c r="E16" s="2">
        <v>150</v>
      </c>
      <c r="F16" s="2">
        <v>203</v>
      </c>
      <c r="G16" s="2">
        <v>612</v>
      </c>
      <c r="H16" s="4">
        <f t="shared" si="0"/>
        <v>1.89873417721519</v>
      </c>
      <c r="I16" s="4">
        <f t="shared" si="1"/>
        <v>3.01477832512315</v>
      </c>
      <c r="J16" s="7">
        <f ca="1">F16-IFERROR(VLOOKUP($A16,'0507'!$A$1:'0507'!G$48,6,FALSE),IFERROR(VLOOKUP($C16,'0507'!$C$1:'0507'!G$48,4,FALSE),F16-D16))</f>
        <v>5</v>
      </c>
      <c r="K16" s="8">
        <f ca="1">G16-IFERROR(VLOOKUP($A16,'0507'!$A$1:'0507'!H$44,7,FALSE),IFERROR(VLOOKUP($C16,'0507'!$C$1:'0507'!H$44,5,FALSE),G16-E16))</f>
        <v>0</v>
      </c>
      <c r="L16" s="4">
        <f ca="1" t="shared" si="2"/>
        <v>0</v>
      </c>
      <c r="M16" s="2" t="s">
        <v>20</v>
      </c>
    </row>
    <row r="17" s="2" customFormat="1" spans="1:12">
      <c r="A17" s="2" t="s">
        <v>21</v>
      </c>
      <c r="B17" s="2" t="s">
        <v>10</v>
      </c>
      <c r="C17" s="9">
        <v>45771</v>
      </c>
      <c r="D17" s="2">
        <v>17</v>
      </c>
      <c r="E17" s="2">
        <v>6</v>
      </c>
      <c r="F17" s="2">
        <v>201</v>
      </c>
      <c r="G17" s="2">
        <v>183</v>
      </c>
      <c r="H17" s="4">
        <f t="shared" si="0"/>
        <v>0.352941176470588</v>
      </c>
      <c r="I17" s="4">
        <f t="shared" si="1"/>
        <v>0.91044776119403</v>
      </c>
      <c r="J17" s="7">
        <f ca="1">F17-IFERROR(VLOOKUP($A17,'0507'!$A$1:'0507'!G$48,6,FALSE),IFERROR(VLOOKUP($C17,'0507'!$C$1:'0507'!G$48,4,FALSE),F17-D17))</f>
        <v>4</v>
      </c>
      <c r="K17" s="8">
        <f ca="1">G17-IFERROR(VLOOKUP($A17,'0507'!$A$1:'0507'!H$44,7,FALSE),IFERROR(VLOOKUP($C17,'0507'!$C$1:'0507'!H$44,5,FALSE),G17-E17))</f>
        <v>0</v>
      </c>
      <c r="L17" s="4">
        <f ca="1" t="shared" si="2"/>
        <v>0</v>
      </c>
    </row>
    <row r="18" s="2" customFormat="1" spans="1:12">
      <c r="A18" s="2" t="s">
        <v>22</v>
      </c>
      <c r="B18" s="2" t="s">
        <v>10</v>
      </c>
      <c r="C18" s="9">
        <v>45771</v>
      </c>
      <c r="D18" s="2">
        <v>43</v>
      </c>
      <c r="E18" s="2">
        <v>4</v>
      </c>
      <c r="F18" s="2">
        <v>199</v>
      </c>
      <c r="G18" s="2">
        <v>125</v>
      </c>
      <c r="H18" s="4">
        <f t="shared" si="0"/>
        <v>0.0930232558139535</v>
      </c>
      <c r="I18" s="4">
        <f t="shared" si="1"/>
        <v>0.628140703517588</v>
      </c>
      <c r="J18" s="7">
        <f ca="1">F18-IFERROR(VLOOKUP($A18,'0507'!$A$1:'0507'!G$48,6,FALSE),IFERROR(VLOOKUP($C18,'0507'!$C$1:'0507'!G$48,4,FALSE),F18-D18))</f>
        <v>11</v>
      </c>
      <c r="K18" s="8">
        <f ca="1">G18-IFERROR(VLOOKUP($A18,'0507'!$A$1:'0507'!H$44,7,FALSE),IFERROR(VLOOKUP($C18,'0507'!$C$1:'0507'!H$44,5,FALSE),G18-E18))</f>
        <v>0</v>
      </c>
      <c r="L18" s="4">
        <f ca="1" t="shared" si="2"/>
        <v>0</v>
      </c>
    </row>
    <row r="19" s="2" customFormat="1" spans="1:12">
      <c r="A19" s="2" t="s">
        <v>38</v>
      </c>
      <c r="B19" s="2" t="s">
        <v>10</v>
      </c>
      <c r="C19" s="9">
        <v>45764</v>
      </c>
      <c r="D19" s="2">
        <v>51</v>
      </c>
      <c r="E19" s="2">
        <v>21</v>
      </c>
      <c r="F19" s="2">
        <v>393</v>
      </c>
      <c r="G19" s="2">
        <v>282</v>
      </c>
      <c r="H19" s="4">
        <f t="shared" si="0"/>
        <v>0.411764705882353</v>
      </c>
      <c r="I19" s="4">
        <f t="shared" si="1"/>
        <v>0.717557251908397</v>
      </c>
      <c r="J19" s="7">
        <f ca="1">F19-IFERROR(VLOOKUP($A19,'0507'!$A$1:'0507'!G$48,6,FALSE),IFERROR(VLOOKUP($C19,'0507'!$C$1:'0507'!G$48,4,FALSE),F19-D19))</f>
        <v>10</v>
      </c>
      <c r="K19" s="8">
        <f ca="1">G19-IFERROR(VLOOKUP($A19,'0507'!$A$1:'0507'!H$44,7,FALSE),IFERROR(VLOOKUP($C19,'0507'!$C$1:'0507'!H$44,5,FALSE),G19-E19))</f>
        <v>0</v>
      </c>
      <c r="L19" s="4">
        <f ca="1" t="shared" si="2"/>
        <v>0</v>
      </c>
    </row>
    <row r="20" s="2" customFormat="1" spans="1:13">
      <c r="A20" s="2" t="s">
        <v>42</v>
      </c>
      <c r="B20" s="2" t="s">
        <v>10</v>
      </c>
      <c r="C20" s="9">
        <v>45762</v>
      </c>
      <c r="D20" s="2">
        <v>18</v>
      </c>
      <c r="E20" s="2">
        <v>6</v>
      </c>
      <c r="F20" s="2">
        <v>613</v>
      </c>
      <c r="G20" s="2">
        <v>647</v>
      </c>
      <c r="H20" s="4">
        <f t="shared" si="0"/>
        <v>0.333333333333333</v>
      </c>
      <c r="I20" s="4">
        <f t="shared" si="1"/>
        <v>1.05546492659054</v>
      </c>
      <c r="J20" s="7">
        <f ca="1">F20-IFERROR(VLOOKUP($A20,'0507'!$A$1:'0507'!G$48,6,FALSE),IFERROR(VLOOKUP($C20,'0507'!$C$1:'0507'!G$48,4,FALSE),F20-D20))</f>
        <v>6</v>
      </c>
      <c r="K20" s="8">
        <f ca="1">G20-IFERROR(VLOOKUP($A20,'0507'!$A$1:'0507'!H$44,7,FALSE),IFERROR(VLOOKUP($C20,'0507'!$C$1:'0507'!H$44,5,FALSE),G20-E20))</f>
        <v>0</v>
      </c>
      <c r="L20" s="4">
        <f ca="1" t="shared" si="2"/>
        <v>0</v>
      </c>
      <c r="M20" s="2" t="s">
        <v>43</v>
      </c>
    </row>
    <row r="21" s="2" customFormat="1" spans="1:13">
      <c r="A21" s="2" t="s">
        <v>44</v>
      </c>
      <c r="B21" s="2" t="s">
        <v>10</v>
      </c>
      <c r="C21" s="9">
        <v>45761</v>
      </c>
      <c r="D21" s="2">
        <v>9</v>
      </c>
      <c r="E21" s="2">
        <v>38</v>
      </c>
      <c r="F21" s="2">
        <v>1063</v>
      </c>
      <c r="G21" s="2">
        <v>951</v>
      </c>
      <c r="H21" s="4">
        <f t="shared" si="0"/>
        <v>4.22222222222222</v>
      </c>
      <c r="I21" s="4">
        <f t="shared" si="1"/>
        <v>0.894637817497648</v>
      </c>
      <c r="J21" s="7">
        <f ca="1">F21-IFERROR(VLOOKUP($A21,'0507'!$A$1:'0507'!G$48,6,FALSE),IFERROR(VLOOKUP($C21,'0507'!$C$1:'0507'!G$48,4,FALSE),F21-D21))</f>
        <v>4</v>
      </c>
      <c r="K21" s="8">
        <f ca="1">G21-IFERROR(VLOOKUP($A21,'0507'!$A$1:'0507'!H$44,7,FALSE),IFERROR(VLOOKUP($C21,'0507'!$C$1:'0507'!H$44,5,FALSE),G21-E21))</f>
        <v>32</v>
      </c>
      <c r="L21" s="4">
        <f ca="1" t="shared" si="2"/>
        <v>8</v>
      </c>
      <c r="M21" s="2" t="s">
        <v>45</v>
      </c>
    </row>
    <row r="22" s="2" customFormat="1" spans="1:13">
      <c r="A22" s="2" t="s">
        <v>73</v>
      </c>
      <c r="B22" s="2" t="s">
        <v>10</v>
      </c>
      <c r="C22" s="9">
        <v>45755</v>
      </c>
      <c r="D22" s="2">
        <v>7</v>
      </c>
      <c r="E22" s="2">
        <v>6</v>
      </c>
      <c r="F22" s="2">
        <v>445</v>
      </c>
      <c r="G22" s="2">
        <v>511</v>
      </c>
      <c r="H22" s="4">
        <f t="shared" si="0"/>
        <v>0.857142857142857</v>
      </c>
      <c r="I22" s="4">
        <f t="shared" si="1"/>
        <v>1.14831460674157</v>
      </c>
      <c r="J22" s="7">
        <f ca="1">F22-IFERROR(VLOOKUP($A22,'0507'!$A$1:'0507'!G$48,6,FALSE),IFERROR(VLOOKUP($C22,'0507'!$C$1:'0507'!G$48,4,FALSE),F22-D22))</f>
        <v>1</v>
      </c>
      <c r="K22" s="8">
        <f ca="1">G22-IFERROR(VLOOKUP($A22,'0507'!$A$1:'0507'!H$44,7,FALSE),IFERROR(VLOOKUP($C22,'0507'!$C$1:'0507'!H$44,5,FALSE),G22-E22))</f>
        <v>0</v>
      </c>
      <c r="L22" s="4">
        <f ca="1" t="shared" si="2"/>
        <v>0</v>
      </c>
      <c r="M22" s="2" t="s">
        <v>74</v>
      </c>
    </row>
    <row r="23" s="2" customFormat="1" spans="1:13">
      <c r="A23" s="2" t="s">
        <v>70</v>
      </c>
      <c r="B23" s="2" t="s">
        <v>10</v>
      </c>
      <c r="C23" s="9">
        <v>45751</v>
      </c>
      <c r="D23" s="2">
        <v>31</v>
      </c>
      <c r="E23" s="2">
        <v>8</v>
      </c>
      <c r="F23" s="2">
        <v>184</v>
      </c>
      <c r="G23" s="2">
        <v>266</v>
      </c>
      <c r="H23" s="4">
        <f t="shared" si="0"/>
        <v>0.258064516129032</v>
      </c>
      <c r="I23" s="4">
        <f t="shared" si="1"/>
        <v>1.44565217391304</v>
      </c>
      <c r="J23" s="7">
        <f ca="1">F23-IFERROR(VLOOKUP($A23,'0507'!$A$1:'0507'!G$48,6,FALSE),IFERROR(VLOOKUP($C23,'0507'!$C$1:'0507'!G$48,4,FALSE),F23-D23))</f>
        <v>2</v>
      </c>
      <c r="K23" s="8">
        <f ca="1">G23-IFERROR(VLOOKUP($A23,'0507'!$A$1:'0507'!H$44,7,FALSE),IFERROR(VLOOKUP($C23,'0507'!$C$1:'0507'!H$44,5,FALSE),G23-E23))</f>
        <v>0</v>
      </c>
      <c r="L23" s="4">
        <f ca="1" t="shared" si="2"/>
        <v>0</v>
      </c>
      <c r="M23" s="2" t="s">
        <v>71</v>
      </c>
    </row>
    <row r="24" s="2" customFormat="1" spans="1:13">
      <c r="A24" s="2" t="s">
        <v>50</v>
      </c>
      <c r="B24" s="2" t="s">
        <v>10</v>
      </c>
      <c r="C24" s="9">
        <v>45748</v>
      </c>
      <c r="D24" s="2">
        <v>37</v>
      </c>
      <c r="E24" s="2">
        <v>5</v>
      </c>
      <c r="F24" s="2">
        <v>224497</v>
      </c>
      <c r="G24" s="2">
        <v>10598</v>
      </c>
      <c r="H24" s="4">
        <f t="shared" si="0"/>
        <v>0.135135135135135</v>
      </c>
      <c r="I24" s="4">
        <f t="shared" si="1"/>
        <v>0.0472077577874092</v>
      </c>
      <c r="J24" s="7">
        <f ca="1">F24-IFERROR(VLOOKUP($A24,'0507'!$A$1:'0507'!G$48,6,FALSE),IFERROR(VLOOKUP($C24,'0507'!$C$1:'0507'!G$48,4,FALSE),F24-D24))</f>
        <v>3</v>
      </c>
      <c r="K24" s="8">
        <f ca="1">G24-IFERROR(VLOOKUP($A24,'0507'!$A$1:'0507'!H$44,7,FALSE),IFERROR(VLOOKUP($C24,'0507'!$C$1:'0507'!H$44,5,FALSE),G24-E24))</f>
        <v>0</v>
      </c>
      <c r="L24" s="4">
        <f ca="1" t="shared" si="2"/>
        <v>0</v>
      </c>
      <c r="M24" s="2" t="s">
        <v>78</v>
      </c>
    </row>
    <row r="25" s="2" customFormat="1" spans="1:13">
      <c r="A25" s="2" t="s">
        <v>52</v>
      </c>
      <c r="B25" s="2" t="s">
        <v>10</v>
      </c>
      <c r="C25" s="9">
        <v>45743</v>
      </c>
      <c r="D25" s="2">
        <v>72</v>
      </c>
      <c r="E25" s="2">
        <v>15</v>
      </c>
      <c r="F25" s="2">
        <v>4948</v>
      </c>
      <c r="G25" s="2">
        <v>2001</v>
      </c>
      <c r="H25" s="4">
        <f t="shared" si="0"/>
        <v>0.208333333333333</v>
      </c>
      <c r="I25" s="4">
        <f t="shared" si="1"/>
        <v>0.404405820533549</v>
      </c>
      <c r="J25" s="7">
        <f ca="1">F25-IFERROR(VLOOKUP($A25,'0507'!$A$1:'0507'!G$48,6,FALSE),IFERROR(VLOOKUP($C25,'0507'!$C$1:'0507'!G$48,4,FALSE),F25-D25))</f>
        <v>24</v>
      </c>
      <c r="K25" s="8">
        <f ca="1">G25-IFERROR(VLOOKUP($A25,'0507'!$A$1:'0507'!H$44,7,FALSE),IFERROR(VLOOKUP($C25,'0507'!$C$1:'0507'!H$44,5,FALSE),G25-E25))</f>
        <v>5</v>
      </c>
      <c r="L25" s="4">
        <f ca="1" t="shared" si="2"/>
        <v>0.208333333333333</v>
      </c>
      <c r="M25" s="2" t="s">
        <v>53</v>
      </c>
    </row>
    <row r="26" s="2" customFormat="1" spans="1:13">
      <c r="A26" s="2" t="s">
        <v>54</v>
      </c>
      <c r="B26" s="2" t="s">
        <v>10</v>
      </c>
      <c r="C26" s="9">
        <v>45741</v>
      </c>
      <c r="D26" s="2">
        <v>89</v>
      </c>
      <c r="E26" s="2">
        <v>15</v>
      </c>
      <c r="F26" s="2">
        <v>1282</v>
      </c>
      <c r="G26" s="2">
        <v>692</v>
      </c>
      <c r="H26" s="4">
        <f t="shared" si="0"/>
        <v>0.168539325842697</v>
      </c>
      <c r="I26" s="4">
        <f t="shared" si="1"/>
        <v>0.539781591263651</v>
      </c>
      <c r="J26" s="7">
        <f ca="1">F26-IFERROR(VLOOKUP($A26,'0507'!$A$1:'0507'!G$48,6,FALSE),IFERROR(VLOOKUP($C26,'0507'!$C$1:'0507'!G$48,4,FALSE),F26-D26))</f>
        <v>23</v>
      </c>
      <c r="K26" s="8">
        <f ca="1">G26-IFERROR(VLOOKUP($A26,'0507'!$A$1:'0507'!H$44,7,FALSE),IFERROR(VLOOKUP($C26,'0507'!$C$1:'0507'!H$44,5,FALSE),G26-E26))</f>
        <v>5</v>
      </c>
      <c r="L26" s="4">
        <f ca="1" t="shared" si="2"/>
        <v>0.217391304347826</v>
      </c>
      <c r="M26" s="13" t="s">
        <v>55</v>
      </c>
    </row>
    <row r="27" s="2" customFormat="1" spans="1:14">
      <c r="A27" s="2" t="s">
        <v>85</v>
      </c>
      <c r="B27" s="2" t="s">
        <v>10</v>
      </c>
      <c r="C27" s="9">
        <v>45739</v>
      </c>
      <c r="D27" s="2">
        <v>3</v>
      </c>
      <c r="E27" s="2">
        <v>10</v>
      </c>
      <c r="F27" s="2">
        <v>277</v>
      </c>
      <c r="G27" s="2">
        <v>664</v>
      </c>
      <c r="H27" s="4">
        <f t="shared" si="0"/>
        <v>3.33333333333333</v>
      </c>
      <c r="I27" s="4">
        <f t="shared" si="1"/>
        <v>2.3971119133574</v>
      </c>
      <c r="J27" s="7">
        <f ca="1">F27-IFERROR(VLOOKUP($A27,'0507'!$A$1:'0507'!G$48,6,FALSE),IFERROR(VLOOKUP($C27,'0507'!$C$1:'0507'!G$48,4,FALSE),F27-D27))</f>
        <v>3</v>
      </c>
      <c r="K27" s="8">
        <f ca="1">G27-IFERROR(VLOOKUP($A27,'0507'!$A$1:'0507'!H$44,7,FALSE),IFERROR(VLOOKUP($C27,'0507'!$C$1:'0507'!H$44,5,FALSE),G27-E27))</f>
        <v>10</v>
      </c>
      <c r="L27" s="4">
        <f ca="1" t="shared" si="2"/>
        <v>3.33333333333333</v>
      </c>
      <c r="M27" s="13" t="s">
        <v>86</v>
      </c>
      <c r="N27" s="2" t="s">
        <v>87</v>
      </c>
    </row>
    <row r="28" s="2" customFormat="1" spans="1:13">
      <c r="A28" s="2" t="s">
        <v>56</v>
      </c>
      <c r="B28" s="2" t="s">
        <v>10</v>
      </c>
      <c r="C28" s="9">
        <v>45734</v>
      </c>
      <c r="D28" s="2">
        <v>21</v>
      </c>
      <c r="E28" s="2">
        <v>5</v>
      </c>
      <c r="F28" s="2">
        <v>509</v>
      </c>
      <c r="G28" s="2">
        <v>675</v>
      </c>
      <c r="H28" s="4">
        <f t="shared" si="0"/>
        <v>0.238095238095238</v>
      </c>
      <c r="I28" s="4">
        <f t="shared" si="1"/>
        <v>1.32612966601179</v>
      </c>
      <c r="J28" s="7">
        <f ca="1">F28-IFERROR(VLOOKUP($A28,'0507'!$A$1:'0507'!G$48,6,FALSE),IFERROR(VLOOKUP($C28,'0507'!$C$1:'0507'!G$48,4,FALSE),F28-D28))</f>
        <v>2</v>
      </c>
      <c r="K28" s="8">
        <f ca="1">G28-IFERROR(VLOOKUP($A28,'0507'!$A$1:'0507'!H$44,7,FALSE),IFERROR(VLOOKUP($C28,'0507'!$C$1:'0507'!H$44,5,FALSE),G28-E28))</f>
        <v>0</v>
      </c>
      <c r="L28" s="4">
        <f ca="1" t="shared" si="2"/>
        <v>0</v>
      </c>
      <c r="M28" s="2" t="s">
        <v>79</v>
      </c>
    </row>
    <row r="29" s="2" customFormat="1" spans="1:13">
      <c r="A29" s="2" t="s">
        <v>75</v>
      </c>
      <c r="B29" s="2" t="s">
        <v>10</v>
      </c>
      <c r="C29" s="9">
        <v>45720</v>
      </c>
      <c r="D29" s="2">
        <v>17</v>
      </c>
      <c r="E29" s="2">
        <v>9</v>
      </c>
      <c r="F29" s="2">
        <v>375</v>
      </c>
      <c r="G29" s="2">
        <v>281</v>
      </c>
      <c r="H29" s="4">
        <f t="shared" si="0"/>
        <v>0.529411764705882</v>
      </c>
      <c r="I29" s="4">
        <f t="shared" si="1"/>
        <v>0.749333333333333</v>
      </c>
      <c r="J29" s="7">
        <f ca="1">F29-IFERROR(VLOOKUP($A29,'0507'!$A$1:'0507'!G$48,6,FALSE),IFERROR(VLOOKUP($C29,'0507'!$C$1:'0507'!G$48,4,FALSE),F29-D29))</f>
        <v>1</v>
      </c>
      <c r="K29" s="8">
        <f ca="1">G29-IFERROR(VLOOKUP($A29,'0507'!$A$1:'0507'!H$44,7,FALSE),IFERROR(VLOOKUP($C29,'0507'!$C$1:'0507'!H$44,5,FALSE),G29-E29))</f>
        <v>6</v>
      </c>
      <c r="L29" s="4">
        <f ca="1" t="shared" si="2"/>
        <v>6</v>
      </c>
      <c r="M29" s="13" t="s">
        <v>76</v>
      </c>
    </row>
    <row r="30" spans="11:11">
      <c r="K30" s="2">
        <f ca="1">SUM(K2:K29)</f>
        <v>683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topLeftCell="A7" workbookViewId="0">
      <selection activeCell="A27" sqref="$A27:$XFD27"/>
    </sheetView>
  </sheetViews>
  <sheetFormatPr defaultColWidth="10" defaultRowHeight="14.4"/>
  <cols>
    <col min="1" max="1" width="51.3333333333333" style="2" customWidth="1"/>
    <col min="2" max="2" width="10" style="2" hidden="1" customWidth="1"/>
    <col min="3" max="3" width="10" style="2"/>
    <col min="4" max="7" width="5.88888888888889" style="2" customWidth="1"/>
    <col min="8" max="9" width="6.77777777777778" style="2" customWidth="1"/>
    <col min="10" max="10" width="7.66666666666667" style="2" customWidth="1"/>
    <col min="11" max="12" width="6.77777777777778" style="2" customWidth="1"/>
    <col min="13" max="13" width="18.6666666666667" style="2" customWidth="1"/>
    <col min="14" max="14" width="19.6666666666667" style="2" customWidth="1"/>
    <col min="15" max="16384" width="10" style="2"/>
  </cols>
  <sheetData>
    <row r="1" s="2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J1" s="5" t="s">
        <v>7</v>
      </c>
      <c r="K1" s="5" t="s">
        <v>8</v>
      </c>
    </row>
    <row r="2" s="2" customFormat="1" spans="1:12">
      <c r="A2" s="2" t="s">
        <v>88</v>
      </c>
      <c r="B2" s="2" t="s">
        <v>10</v>
      </c>
      <c r="C2" s="9">
        <v>45785</v>
      </c>
      <c r="D2" s="2">
        <v>193</v>
      </c>
      <c r="E2" s="2">
        <v>162</v>
      </c>
      <c r="F2" s="2">
        <v>193</v>
      </c>
      <c r="G2" s="2">
        <v>162</v>
      </c>
      <c r="H2" s="4">
        <f>E2/D2</f>
        <v>0.839378238341969</v>
      </c>
      <c r="I2" s="4">
        <f>G2/F2</f>
        <v>0.839378238341969</v>
      </c>
      <c r="J2" s="7">
        <f ca="1">F2-IFERROR(VLOOKUP($A2,'0508'!$A$1:'0508'!G$48,6,FALSE),IFERROR(VLOOKUP($C2,'0508'!$C$1:'0508'!G$48,4,FALSE),F2-D2))</f>
        <v>193</v>
      </c>
      <c r="K2" s="8">
        <f ca="1">G2-IFERROR(VLOOKUP($A2,'0508'!$A$1:'0508'!H$44,7,FALSE),IFERROR(VLOOKUP($C2,'0508'!$C$1:'0508'!H$44,5,FALSE),G2-E2))</f>
        <v>162</v>
      </c>
      <c r="L2" s="4">
        <f ca="1">IFERROR(K2/J2,)</f>
        <v>0.839378238341969</v>
      </c>
    </row>
    <row r="3" s="2" customFormat="1" spans="1:12">
      <c r="A3" s="2" t="s">
        <v>83</v>
      </c>
      <c r="B3" s="2" t="s">
        <v>10</v>
      </c>
      <c r="C3" s="9">
        <v>45784</v>
      </c>
      <c r="D3" s="2">
        <v>285</v>
      </c>
      <c r="E3" s="2">
        <v>608</v>
      </c>
      <c r="F3" s="2">
        <v>285</v>
      </c>
      <c r="G3" s="2">
        <v>608</v>
      </c>
      <c r="H3" s="4">
        <f t="shared" ref="H3:H30" si="0">E3/D3</f>
        <v>2.13333333333333</v>
      </c>
      <c r="I3" s="4">
        <f t="shared" ref="I3:I30" si="1">G3/F3</f>
        <v>2.13333333333333</v>
      </c>
      <c r="J3" s="7">
        <f ca="1">F3-IFERROR(VLOOKUP($A3,'0508'!$A$1:'0508'!G$48,6,FALSE),IFERROR(VLOOKUP($C3,'0508'!$C$1:'0508'!G$48,4,FALSE),F3-D3))</f>
        <v>145</v>
      </c>
      <c r="K3" s="8">
        <f ca="1">G3-IFERROR(VLOOKUP($A3,'0508'!$A$1:'0508'!H$44,7,FALSE),IFERROR(VLOOKUP($C3,'0508'!$C$1:'0508'!H$44,5,FALSE),G3-E3))</f>
        <v>302</v>
      </c>
      <c r="L3" s="4">
        <f ca="1" t="shared" ref="L3:L30" si="2">IFERROR(K3/J3,)</f>
        <v>2.08275862068966</v>
      </c>
    </row>
    <row r="4" s="2" customFormat="1" spans="1:12">
      <c r="A4" s="2" t="s">
        <v>80</v>
      </c>
      <c r="B4" s="2" t="s">
        <v>10</v>
      </c>
      <c r="C4" s="9">
        <v>45783</v>
      </c>
      <c r="D4" s="2">
        <v>161</v>
      </c>
      <c r="E4" s="2">
        <v>204</v>
      </c>
      <c r="F4" s="2">
        <v>161</v>
      </c>
      <c r="G4" s="2">
        <v>204</v>
      </c>
      <c r="H4" s="4">
        <f t="shared" si="0"/>
        <v>1.26708074534161</v>
      </c>
      <c r="I4" s="4">
        <f t="shared" si="1"/>
        <v>1.26708074534161</v>
      </c>
      <c r="J4" s="7">
        <f ca="1">F4-IFERROR(VLOOKUP($A4,'0508'!$A$1:'0508'!G$48,6,FALSE),IFERROR(VLOOKUP($C4,'0508'!$C$1:'0508'!G$48,4,FALSE),F4-D4))</f>
        <v>25</v>
      </c>
      <c r="K4" s="8">
        <f ca="1">G4-IFERROR(VLOOKUP($A4,'0508'!$A$1:'0508'!H$44,7,FALSE),IFERROR(VLOOKUP($C4,'0508'!$C$1:'0508'!H$44,5,FALSE),G4-E4))</f>
        <v>4</v>
      </c>
      <c r="L4" s="4">
        <f ca="1" t="shared" si="2"/>
        <v>0.16</v>
      </c>
    </row>
    <row r="5" s="2" customFormat="1" spans="1:12">
      <c r="A5" s="2" t="s">
        <v>81</v>
      </c>
      <c r="B5" s="2" t="s">
        <v>10</v>
      </c>
      <c r="C5" s="9">
        <v>45783</v>
      </c>
      <c r="D5" s="2">
        <v>127</v>
      </c>
      <c r="E5" s="2">
        <v>203</v>
      </c>
      <c r="F5" s="2">
        <v>127</v>
      </c>
      <c r="G5" s="2">
        <v>203</v>
      </c>
      <c r="H5" s="4">
        <f t="shared" si="0"/>
        <v>1.59842519685039</v>
      </c>
      <c r="I5" s="4">
        <f t="shared" si="1"/>
        <v>1.59842519685039</v>
      </c>
      <c r="J5" s="7">
        <f ca="1">F5-IFERROR(VLOOKUP($A5,'0508'!$A$1:'0508'!G$48,6,FALSE),IFERROR(VLOOKUP($C5,'0508'!$C$1:'0508'!G$48,4,FALSE),F5-D5))</f>
        <v>15</v>
      </c>
      <c r="K5" s="8">
        <f ca="1">G5-IFERROR(VLOOKUP($A5,'0508'!$A$1:'0508'!H$44,7,FALSE),IFERROR(VLOOKUP($C5,'0508'!$C$1:'0508'!H$44,5,FALSE),G5-E5))</f>
        <v>0</v>
      </c>
      <c r="L5" s="4">
        <f ca="1" t="shared" si="2"/>
        <v>0</v>
      </c>
    </row>
    <row r="6" s="2" customFormat="1" spans="1:12">
      <c r="A6" s="2" t="s">
        <v>77</v>
      </c>
      <c r="B6" s="2" t="s">
        <v>10</v>
      </c>
      <c r="C6" s="9">
        <v>45782</v>
      </c>
      <c r="D6" s="2">
        <v>296</v>
      </c>
      <c r="E6" s="2">
        <v>208</v>
      </c>
      <c r="F6" s="2">
        <v>296</v>
      </c>
      <c r="G6" s="2">
        <v>208</v>
      </c>
      <c r="H6" s="4">
        <f t="shared" si="0"/>
        <v>0.702702702702703</v>
      </c>
      <c r="I6" s="4">
        <f t="shared" si="1"/>
        <v>0.702702702702703</v>
      </c>
      <c r="J6" s="7">
        <f ca="1">F6-IFERROR(VLOOKUP($A6,'0508'!$A$1:'0508'!G$48,6,FALSE),IFERROR(VLOOKUP($C6,'0508'!$C$1:'0508'!G$48,4,FALSE),F6-D6))</f>
        <v>43</v>
      </c>
      <c r="K6" s="8">
        <f ca="1">G6-IFERROR(VLOOKUP($A6,'0508'!$A$1:'0508'!H$44,7,FALSE),IFERROR(VLOOKUP($C6,'0508'!$C$1:'0508'!H$44,5,FALSE),G6-E6))</f>
        <v>4</v>
      </c>
      <c r="L6" s="4">
        <f ca="1" t="shared" si="2"/>
        <v>0.0930232558139535</v>
      </c>
    </row>
    <row r="7" s="2" customFormat="1" spans="1:12">
      <c r="A7" s="2" t="s">
        <v>72</v>
      </c>
      <c r="B7" s="2" t="s">
        <v>10</v>
      </c>
      <c r="C7" s="9">
        <v>45781</v>
      </c>
      <c r="D7" s="2">
        <v>239</v>
      </c>
      <c r="E7" s="2">
        <v>609</v>
      </c>
      <c r="F7" s="2">
        <v>239</v>
      </c>
      <c r="G7" s="2">
        <v>609</v>
      </c>
      <c r="H7" s="4">
        <f t="shared" si="0"/>
        <v>2.54811715481172</v>
      </c>
      <c r="I7" s="4">
        <f t="shared" si="1"/>
        <v>2.54811715481172</v>
      </c>
      <c r="J7" s="7">
        <f ca="1">F7-IFERROR(VLOOKUP($A7,'0508'!$A$1:'0508'!G$48,6,FALSE),IFERROR(VLOOKUP($C7,'0508'!$C$1:'0508'!G$48,4,FALSE),F7-D7))</f>
        <v>8</v>
      </c>
      <c r="K7" s="8">
        <f ca="1">G7-IFERROR(VLOOKUP($A7,'0508'!$A$1:'0508'!H$44,7,FALSE),IFERROR(VLOOKUP($C7,'0508'!$C$1:'0508'!H$44,5,FALSE),G7-E7))</f>
        <v>25</v>
      </c>
      <c r="L7" s="4">
        <f ca="1" t="shared" si="2"/>
        <v>3.125</v>
      </c>
    </row>
    <row r="8" s="2" customFormat="1" spans="1:12">
      <c r="A8" s="2" t="s">
        <v>69</v>
      </c>
      <c r="B8" s="2" t="s">
        <v>10</v>
      </c>
      <c r="C8" s="9">
        <v>45780</v>
      </c>
      <c r="D8" s="2">
        <v>1172</v>
      </c>
      <c r="E8" s="2">
        <v>537</v>
      </c>
      <c r="F8" s="2">
        <v>1172</v>
      </c>
      <c r="G8" s="2">
        <v>537</v>
      </c>
      <c r="H8" s="4">
        <f t="shared" si="0"/>
        <v>0.458191126279863</v>
      </c>
      <c r="I8" s="4">
        <f t="shared" si="1"/>
        <v>0.458191126279863</v>
      </c>
      <c r="J8" s="7">
        <f ca="1">F8-IFERROR(VLOOKUP($A8,'0508'!$A$1:'0508'!G$48,6,FALSE),IFERROR(VLOOKUP($C8,'0508'!$C$1:'0508'!G$48,4,FALSE),F8-D8))</f>
        <v>39</v>
      </c>
      <c r="K8" s="8">
        <f ca="1">G8-IFERROR(VLOOKUP($A8,'0508'!$A$1:'0508'!H$44,7,FALSE),IFERROR(VLOOKUP($C8,'0508'!$C$1:'0508'!H$44,5,FALSE),G8-E8))</f>
        <v>12</v>
      </c>
      <c r="L8" s="4">
        <f ca="1" t="shared" si="2"/>
        <v>0.307692307692308</v>
      </c>
    </row>
    <row r="9" s="2" customFormat="1" spans="1:12">
      <c r="A9" s="2" t="s">
        <v>68</v>
      </c>
      <c r="B9" s="2" t="s">
        <v>10</v>
      </c>
      <c r="C9" s="9">
        <v>45779</v>
      </c>
      <c r="D9" s="2">
        <v>176</v>
      </c>
      <c r="E9" s="2">
        <v>147</v>
      </c>
      <c r="F9" s="2">
        <v>176</v>
      </c>
      <c r="G9" s="2">
        <v>147</v>
      </c>
      <c r="H9" s="4">
        <f t="shared" si="0"/>
        <v>0.835227272727273</v>
      </c>
      <c r="I9" s="4">
        <f t="shared" si="1"/>
        <v>0.835227272727273</v>
      </c>
      <c r="J9" s="7">
        <f ca="1">F9-IFERROR(VLOOKUP($A9,'0508'!$A$1:'0508'!G$48,6,FALSE),IFERROR(VLOOKUP($C9,'0508'!$C$1:'0508'!G$48,4,FALSE),F9-D9))</f>
        <v>5</v>
      </c>
      <c r="K9" s="8">
        <f ca="1">G9-IFERROR(VLOOKUP($A9,'0508'!$A$1:'0508'!H$44,7,FALSE),IFERROR(VLOOKUP($C9,'0508'!$C$1:'0508'!H$44,5,FALSE),G9-E9))</f>
        <v>0</v>
      </c>
      <c r="L9" s="4">
        <f ca="1" t="shared" si="2"/>
        <v>0</v>
      </c>
    </row>
    <row r="10" s="2" customFormat="1" spans="1:12">
      <c r="A10" s="2" t="s">
        <v>66</v>
      </c>
      <c r="B10" s="2" t="s">
        <v>10</v>
      </c>
      <c r="C10" s="9">
        <v>45778</v>
      </c>
      <c r="D10" s="2">
        <v>96</v>
      </c>
      <c r="E10" s="2">
        <v>42</v>
      </c>
      <c r="F10" s="2">
        <v>378</v>
      </c>
      <c r="G10" s="2">
        <v>168</v>
      </c>
      <c r="H10" s="4">
        <f t="shared" si="0"/>
        <v>0.4375</v>
      </c>
      <c r="I10" s="4">
        <f t="shared" si="1"/>
        <v>0.444444444444444</v>
      </c>
      <c r="J10" s="7">
        <f ca="1">F10-IFERROR(VLOOKUP($A10,'0508'!$A$1:'0508'!G$48,6,FALSE),IFERROR(VLOOKUP($C10,'0508'!$C$1:'0508'!G$48,4,FALSE),F10-D10))</f>
        <v>3</v>
      </c>
      <c r="K10" s="8">
        <f ca="1">G10-IFERROR(VLOOKUP($A10,'0508'!$A$1:'0508'!H$44,7,FALSE),IFERROR(VLOOKUP($C10,'0508'!$C$1:'0508'!H$44,5,FALSE),G10-E10))</f>
        <v>0</v>
      </c>
      <c r="L10" s="4">
        <f ca="1" t="shared" si="2"/>
        <v>0</v>
      </c>
    </row>
    <row r="11" s="2" customFormat="1" spans="1:13">
      <c r="A11" s="2" t="s">
        <v>9</v>
      </c>
      <c r="B11" s="2" t="s">
        <v>10</v>
      </c>
      <c r="C11" s="9">
        <v>45777</v>
      </c>
      <c r="D11" s="2">
        <v>96</v>
      </c>
      <c r="E11" s="2">
        <v>28</v>
      </c>
      <c r="F11" s="2">
        <v>239</v>
      </c>
      <c r="G11" s="2">
        <v>304</v>
      </c>
      <c r="H11" s="4">
        <f t="shared" si="0"/>
        <v>0.291666666666667</v>
      </c>
      <c r="I11" s="4">
        <f t="shared" si="1"/>
        <v>1.27196652719665</v>
      </c>
      <c r="J11" s="7">
        <f ca="1">F11-IFERROR(VLOOKUP($A11,'0508'!$A$1:'0508'!G$48,6,FALSE),IFERROR(VLOOKUP($C11,'0508'!$C$1:'0508'!G$48,4,FALSE),F11-D11))</f>
        <v>3</v>
      </c>
      <c r="K11" s="8">
        <f ca="1">G11-IFERROR(VLOOKUP($A11,'0508'!$A$1:'0508'!H$44,7,FALSE),IFERROR(VLOOKUP($C11,'0508'!$C$1:'0508'!H$44,5,FALSE),G11-E11))</f>
        <v>0</v>
      </c>
      <c r="L11" s="4">
        <f ca="1" t="shared" si="2"/>
        <v>0</v>
      </c>
      <c r="M11" s="2" t="s">
        <v>84</v>
      </c>
    </row>
    <row r="12" s="2" customFormat="1" spans="1:13">
      <c r="A12" s="2" t="s">
        <v>11</v>
      </c>
      <c r="B12" s="2" t="s">
        <v>10</v>
      </c>
      <c r="C12" s="9">
        <v>45777</v>
      </c>
      <c r="D12" s="2">
        <v>80</v>
      </c>
      <c r="E12" s="2">
        <v>468</v>
      </c>
      <c r="F12" s="2">
        <v>158</v>
      </c>
      <c r="G12" s="2">
        <v>678</v>
      </c>
      <c r="H12" s="4">
        <f t="shared" si="0"/>
        <v>5.85</v>
      </c>
      <c r="I12" s="4">
        <f t="shared" si="1"/>
        <v>4.29113924050633</v>
      </c>
      <c r="J12" s="7">
        <f ca="1">F12-IFERROR(VLOOKUP($A12,'0508'!$A$1:'0508'!G$48,6,FALSE),IFERROR(VLOOKUP($C12,'0508'!$C$1:'0508'!G$48,4,FALSE),F12-D12))</f>
        <v>13</v>
      </c>
      <c r="K12" s="8">
        <f ca="1">G12-IFERROR(VLOOKUP($A12,'0508'!$A$1:'0508'!H$44,7,FALSE),IFERROR(VLOOKUP($C12,'0508'!$C$1:'0508'!H$44,5,FALSE),G12-E12))</f>
        <v>51</v>
      </c>
      <c r="L12" s="4">
        <f ca="1" t="shared" si="2"/>
        <v>3.92307692307692</v>
      </c>
      <c r="M12" s="2" t="s">
        <v>67</v>
      </c>
    </row>
    <row r="13" s="2" customFormat="1" spans="1:12">
      <c r="A13" s="2" t="s">
        <v>12</v>
      </c>
      <c r="B13" s="2" t="s">
        <v>10</v>
      </c>
      <c r="C13" s="9">
        <v>45776</v>
      </c>
      <c r="D13" s="2">
        <v>218</v>
      </c>
      <c r="E13" s="2">
        <v>8</v>
      </c>
      <c r="F13" s="2">
        <v>663</v>
      </c>
      <c r="G13" s="2">
        <v>397</v>
      </c>
      <c r="H13" s="4">
        <f t="shared" si="0"/>
        <v>0.036697247706422</v>
      </c>
      <c r="I13" s="4">
        <f t="shared" si="1"/>
        <v>0.598793363499246</v>
      </c>
      <c r="J13" s="7">
        <f ca="1">F13-IFERROR(VLOOKUP($A13,'0508'!$A$1:'0508'!G$48,6,FALSE),IFERROR(VLOOKUP($C13,'0508'!$C$1:'0508'!G$48,4,FALSE),F13-D13))</f>
        <v>16</v>
      </c>
      <c r="K13" s="8">
        <f ca="1">G13-IFERROR(VLOOKUP($A13,'0508'!$A$1:'0508'!H$44,7,FALSE),IFERROR(VLOOKUP($C13,'0508'!$C$1:'0508'!H$44,5,FALSE),G13-E13))</f>
        <v>0</v>
      </c>
      <c r="L13" s="4">
        <f ca="1" t="shared" si="2"/>
        <v>0</v>
      </c>
    </row>
    <row r="14" s="2" customFormat="1" spans="1:12">
      <c r="A14" s="2" t="s">
        <v>13</v>
      </c>
      <c r="B14" s="2" t="s">
        <v>10</v>
      </c>
      <c r="C14" s="9">
        <v>45775</v>
      </c>
      <c r="D14" s="2">
        <v>29</v>
      </c>
      <c r="E14" s="2">
        <v>17</v>
      </c>
      <c r="F14" s="2">
        <v>248</v>
      </c>
      <c r="G14" s="2">
        <v>311</v>
      </c>
      <c r="H14" s="4">
        <f t="shared" si="0"/>
        <v>0.586206896551724</v>
      </c>
      <c r="I14" s="4">
        <f t="shared" si="1"/>
        <v>1.25403225806452</v>
      </c>
      <c r="J14" s="7">
        <f ca="1">F14-IFERROR(VLOOKUP($A14,'0508'!$A$1:'0508'!G$48,6,FALSE),IFERROR(VLOOKUP($C14,'0508'!$C$1:'0508'!G$48,4,FALSE),F14-D14))</f>
        <v>1</v>
      </c>
      <c r="K14" s="8">
        <f ca="1">G14-IFERROR(VLOOKUP($A14,'0508'!$A$1:'0508'!H$44,7,FALSE),IFERROR(VLOOKUP($C14,'0508'!$C$1:'0508'!H$44,5,FALSE),G14-E14))</f>
        <v>0</v>
      </c>
      <c r="L14" s="4">
        <f ca="1" t="shared" si="2"/>
        <v>0</v>
      </c>
    </row>
    <row r="15" s="2" customFormat="1" spans="1:12">
      <c r="A15" s="2" t="s">
        <v>16</v>
      </c>
      <c r="B15" s="2" t="s">
        <v>10</v>
      </c>
      <c r="C15" s="9">
        <v>45774</v>
      </c>
      <c r="D15" s="2">
        <v>30</v>
      </c>
      <c r="E15" s="2">
        <v>4</v>
      </c>
      <c r="F15" s="2">
        <v>415</v>
      </c>
      <c r="G15" s="2">
        <v>371</v>
      </c>
      <c r="H15" s="4">
        <f t="shared" si="0"/>
        <v>0.133333333333333</v>
      </c>
      <c r="I15" s="4">
        <f t="shared" si="1"/>
        <v>0.893975903614458</v>
      </c>
      <c r="J15" s="7">
        <f ca="1">F15-IFERROR(VLOOKUP($A15,'0508'!$A$1:'0508'!G$48,6,FALSE),IFERROR(VLOOKUP($C15,'0508'!$C$1:'0508'!G$48,4,FALSE),F15-D15))</f>
        <v>8</v>
      </c>
      <c r="K15" s="8">
        <f ca="1">G15-IFERROR(VLOOKUP($A15,'0508'!$A$1:'0508'!H$44,7,FALSE),IFERROR(VLOOKUP($C15,'0508'!$C$1:'0508'!H$44,5,FALSE),G15-E15))</f>
        <v>0</v>
      </c>
      <c r="L15" s="4">
        <f ca="1" t="shared" si="2"/>
        <v>0</v>
      </c>
    </row>
    <row r="16" s="2" customFormat="1" spans="1:14">
      <c r="A16" s="2" t="s">
        <v>19</v>
      </c>
      <c r="B16" s="2" t="s">
        <v>10</v>
      </c>
      <c r="C16" s="9">
        <v>45772</v>
      </c>
      <c r="D16" s="2">
        <v>63</v>
      </c>
      <c r="E16" s="2">
        <v>93</v>
      </c>
      <c r="F16" s="2">
        <v>203</v>
      </c>
      <c r="G16" s="2">
        <v>612</v>
      </c>
      <c r="H16" s="4">
        <f t="shared" si="0"/>
        <v>1.47619047619048</v>
      </c>
      <c r="I16" s="4">
        <f t="shared" si="1"/>
        <v>3.01477832512315</v>
      </c>
      <c r="J16" s="7">
        <f ca="1">F16-IFERROR(VLOOKUP($A16,'0508'!$A$1:'0508'!G$48,6,FALSE),IFERROR(VLOOKUP($C16,'0508'!$C$1:'0508'!G$48,4,FALSE),F16-D16))</f>
        <v>0</v>
      </c>
      <c r="K16" s="8">
        <f ca="1">G16-IFERROR(VLOOKUP($A16,'0508'!$A$1:'0508'!H$44,7,FALSE),IFERROR(VLOOKUP($C16,'0508'!$C$1:'0508'!H$44,5,FALSE),G16-E16))</f>
        <v>0</v>
      </c>
      <c r="L16" s="4">
        <f ca="1" t="shared" si="2"/>
        <v>0</v>
      </c>
      <c r="M16" s="2" t="s">
        <v>20</v>
      </c>
      <c r="N16" s="2" t="s">
        <v>89</v>
      </c>
    </row>
    <row r="17" s="2" customFormat="1" spans="1:12">
      <c r="A17" s="2" t="s">
        <v>22</v>
      </c>
      <c r="B17" s="2" t="s">
        <v>10</v>
      </c>
      <c r="C17" s="9">
        <v>45771</v>
      </c>
      <c r="D17" s="2">
        <v>45</v>
      </c>
      <c r="E17" s="2">
        <v>4</v>
      </c>
      <c r="F17" s="2">
        <v>208</v>
      </c>
      <c r="G17" s="2">
        <v>125</v>
      </c>
      <c r="H17" s="4">
        <f t="shared" si="0"/>
        <v>0.0888888888888889</v>
      </c>
      <c r="I17" s="4">
        <f t="shared" si="1"/>
        <v>0.600961538461538</v>
      </c>
      <c r="J17" s="7">
        <f ca="1">F17-IFERROR(VLOOKUP($A17,'0508'!$A$1:'0508'!G$48,6,FALSE),IFERROR(VLOOKUP($C17,'0508'!$C$1:'0508'!G$48,4,FALSE),F17-D17))</f>
        <v>9</v>
      </c>
      <c r="K17" s="8">
        <f ca="1">G17-IFERROR(VLOOKUP($A17,'0508'!$A$1:'0508'!H$44,7,FALSE),IFERROR(VLOOKUP($C17,'0508'!$C$1:'0508'!H$44,5,FALSE),G17-E17))</f>
        <v>0</v>
      </c>
      <c r="L17" s="4">
        <f ca="1" t="shared" si="2"/>
        <v>0</v>
      </c>
    </row>
    <row r="18" s="2" customFormat="1" spans="1:12">
      <c r="A18" s="2" t="s">
        <v>38</v>
      </c>
      <c r="B18" s="2" t="s">
        <v>10</v>
      </c>
      <c r="C18" s="9">
        <v>45764</v>
      </c>
      <c r="D18" s="2">
        <v>50</v>
      </c>
      <c r="E18" s="2">
        <v>21</v>
      </c>
      <c r="F18" s="2">
        <v>402</v>
      </c>
      <c r="G18" s="2">
        <v>282</v>
      </c>
      <c r="H18" s="4">
        <f t="shared" si="0"/>
        <v>0.42</v>
      </c>
      <c r="I18" s="4">
        <f t="shared" si="1"/>
        <v>0.701492537313433</v>
      </c>
      <c r="J18" s="7">
        <f ca="1">F18-IFERROR(VLOOKUP($A18,'0508'!$A$1:'0508'!G$48,6,FALSE),IFERROR(VLOOKUP($C18,'0508'!$C$1:'0508'!G$48,4,FALSE),F18-D18))</f>
        <v>9</v>
      </c>
      <c r="K18" s="8">
        <f ca="1">G18-IFERROR(VLOOKUP($A18,'0508'!$A$1:'0508'!H$44,7,FALSE),IFERROR(VLOOKUP($C18,'0508'!$C$1:'0508'!H$44,5,FALSE),G18-E18))</f>
        <v>0</v>
      </c>
      <c r="L18" s="4">
        <f ca="1" t="shared" si="2"/>
        <v>0</v>
      </c>
    </row>
    <row r="19" s="2" customFormat="1" spans="1:13">
      <c r="A19" s="2" t="s">
        <v>39</v>
      </c>
      <c r="B19" s="2" t="s">
        <v>10</v>
      </c>
      <c r="C19" s="9">
        <v>45763</v>
      </c>
      <c r="D19" s="2">
        <v>8</v>
      </c>
      <c r="E19" s="2">
        <v>8</v>
      </c>
      <c r="F19" s="2">
        <v>657</v>
      </c>
      <c r="G19" s="2">
        <v>378</v>
      </c>
      <c r="H19" s="4">
        <f t="shared" si="0"/>
        <v>1</v>
      </c>
      <c r="I19" s="4">
        <f t="shared" si="1"/>
        <v>0.575342465753425</v>
      </c>
      <c r="J19" s="7">
        <f ca="1">F19-IFERROR(VLOOKUP($A19,'0508'!$A$1:'0508'!G$48,6,FALSE),IFERROR(VLOOKUP($C19,'0508'!$C$1:'0508'!G$48,4,FALSE),F19-D19))</f>
        <v>8</v>
      </c>
      <c r="K19" s="8">
        <f ca="1">G19-IFERROR(VLOOKUP($A19,'0508'!$A$1:'0508'!H$44,7,FALSE),IFERROR(VLOOKUP($C19,'0508'!$C$1:'0508'!H$44,5,FALSE),G19-E19))</f>
        <v>8</v>
      </c>
      <c r="L19" s="4">
        <f ca="1" t="shared" si="2"/>
        <v>1</v>
      </c>
      <c r="M19" s="2" t="s">
        <v>90</v>
      </c>
    </row>
    <row r="20" s="2" customFormat="1" spans="1:13">
      <c r="A20" s="2" t="s">
        <v>42</v>
      </c>
      <c r="B20" s="2" t="s">
        <v>10</v>
      </c>
      <c r="C20" s="9">
        <v>45762</v>
      </c>
      <c r="D20" s="2">
        <v>23</v>
      </c>
      <c r="E20" s="2">
        <v>6</v>
      </c>
      <c r="F20" s="2">
        <v>618</v>
      </c>
      <c r="G20" s="2">
        <v>647</v>
      </c>
      <c r="H20" s="4">
        <f t="shared" si="0"/>
        <v>0.260869565217391</v>
      </c>
      <c r="I20" s="4">
        <f t="shared" si="1"/>
        <v>1.04692556634304</v>
      </c>
      <c r="J20" s="7">
        <f ca="1">F20-IFERROR(VLOOKUP($A20,'0508'!$A$1:'0508'!G$48,6,FALSE),IFERROR(VLOOKUP($C20,'0508'!$C$1:'0508'!G$48,4,FALSE),F20-D20))</f>
        <v>5</v>
      </c>
      <c r="K20" s="8">
        <f ca="1">G20-IFERROR(VLOOKUP($A20,'0508'!$A$1:'0508'!H$44,7,FALSE),IFERROR(VLOOKUP($C20,'0508'!$C$1:'0508'!H$44,5,FALSE),G20-E20))</f>
        <v>0</v>
      </c>
      <c r="L20" s="4">
        <f ca="1" t="shared" si="2"/>
        <v>0</v>
      </c>
      <c r="M20" s="2" t="s">
        <v>43</v>
      </c>
    </row>
    <row r="21" s="2" customFormat="1" spans="1:13">
      <c r="A21" s="2" t="s">
        <v>44</v>
      </c>
      <c r="B21" s="2" t="s">
        <v>10</v>
      </c>
      <c r="C21" s="9">
        <v>45761</v>
      </c>
      <c r="D21" s="2">
        <v>12</v>
      </c>
      <c r="E21" s="2">
        <v>38</v>
      </c>
      <c r="F21" s="2">
        <v>1067</v>
      </c>
      <c r="G21" s="2">
        <v>951</v>
      </c>
      <c r="H21" s="4">
        <f t="shared" si="0"/>
        <v>3.16666666666667</v>
      </c>
      <c r="I21" s="4">
        <f t="shared" si="1"/>
        <v>0.891283973758201</v>
      </c>
      <c r="J21" s="7">
        <f ca="1">F21-IFERROR(VLOOKUP($A21,'0508'!$A$1:'0508'!G$48,6,FALSE),IFERROR(VLOOKUP($C21,'0508'!$C$1:'0508'!G$48,4,FALSE),F21-D21))</f>
        <v>4</v>
      </c>
      <c r="K21" s="8">
        <f ca="1">G21-IFERROR(VLOOKUP($A21,'0508'!$A$1:'0508'!H$44,7,FALSE),IFERROR(VLOOKUP($C21,'0508'!$C$1:'0508'!H$44,5,FALSE),G21-E21))</f>
        <v>0</v>
      </c>
      <c r="L21" s="4">
        <f ca="1" t="shared" si="2"/>
        <v>0</v>
      </c>
      <c r="M21" s="2" t="s">
        <v>45</v>
      </c>
    </row>
    <row r="22" s="2" customFormat="1" spans="1:13">
      <c r="A22" s="2" t="s">
        <v>73</v>
      </c>
      <c r="B22" s="2" t="s">
        <v>10</v>
      </c>
      <c r="C22" s="9">
        <v>45755</v>
      </c>
      <c r="D22" s="2">
        <v>14</v>
      </c>
      <c r="E22" s="2">
        <v>6</v>
      </c>
      <c r="F22" s="2">
        <v>453</v>
      </c>
      <c r="G22" s="2">
        <v>511</v>
      </c>
      <c r="H22" s="4">
        <f t="shared" si="0"/>
        <v>0.428571428571429</v>
      </c>
      <c r="I22" s="4">
        <f t="shared" si="1"/>
        <v>1.1280353200883</v>
      </c>
      <c r="J22" s="7">
        <f ca="1">F22-IFERROR(VLOOKUP($A22,'0508'!$A$1:'0508'!G$48,6,FALSE),IFERROR(VLOOKUP($C22,'0508'!$C$1:'0508'!G$48,4,FALSE),F22-D22))</f>
        <v>8</v>
      </c>
      <c r="K22" s="8">
        <f ca="1">G22-IFERROR(VLOOKUP($A22,'0508'!$A$1:'0508'!H$44,7,FALSE),IFERROR(VLOOKUP($C22,'0508'!$C$1:'0508'!H$44,5,FALSE),G22-E22))</f>
        <v>0</v>
      </c>
      <c r="L22" s="4">
        <f ca="1" t="shared" si="2"/>
        <v>0</v>
      </c>
      <c r="M22" s="2" t="s">
        <v>74</v>
      </c>
    </row>
    <row r="23" s="2" customFormat="1" spans="1:13">
      <c r="A23" s="2" t="s">
        <v>70</v>
      </c>
      <c r="B23" s="2" t="s">
        <v>10</v>
      </c>
      <c r="C23" s="9">
        <v>45751</v>
      </c>
      <c r="D23" s="2">
        <v>38</v>
      </c>
      <c r="E23" s="2">
        <v>8</v>
      </c>
      <c r="F23" s="2">
        <v>192</v>
      </c>
      <c r="G23" s="2">
        <v>266</v>
      </c>
      <c r="H23" s="4">
        <f t="shared" si="0"/>
        <v>0.210526315789474</v>
      </c>
      <c r="I23" s="4">
        <f t="shared" si="1"/>
        <v>1.38541666666667</v>
      </c>
      <c r="J23" s="7">
        <f ca="1">F23-IFERROR(VLOOKUP($A23,'0508'!$A$1:'0508'!G$48,6,FALSE),IFERROR(VLOOKUP($C23,'0508'!$C$1:'0508'!G$48,4,FALSE),F23-D23))</f>
        <v>8</v>
      </c>
      <c r="K23" s="8">
        <f ca="1">G23-IFERROR(VLOOKUP($A23,'0508'!$A$1:'0508'!H$44,7,FALSE),IFERROR(VLOOKUP($C23,'0508'!$C$1:'0508'!H$44,5,FALSE),G23-E23))</f>
        <v>0</v>
      </c>
      <c r="L23" s="4">
        <f ca="1" t="shared" si="2"/>
        <v>0</v>
      </c>
      <c r="M23" s="2" t="s">
        <v>71</v>
      </c>
    </row>
    <row r="24" s="2" customFormat="1" spans="1:13">
      <c r="A24" s="2" t="s">
        <v>50</v>
      </c>
      <c r="B24" s="2" t="s">
        <v>10</v>
      </c>
      <c r="C24" s="9">
        <v>45748</v>
      </c>
      <c r="D24" s="2">
        <v>36</v>
      </c>
      <c r="E24" s="2">
        <v>5</v>
      </c>
      <c r="F24" s="2">
        <v>224501</v>
      </c>
      <c r="G24" s="2">
        <v>10598</v>
      </c>
      <c r="H24" s="4">
        <f t="shared" si="0"/>
        <v>0.138888888888889</v>
      </c>
      <c r="I24" s="4">
        <f t="shared" si="1"/>
        <v>0.047206916672977</v>
      </c>
      <c r="J24" s="7">
        <f ca="1">F24-IFERROR(VLOOKUP($A24,'0508'!$A$1:'0508'!G$48,6,FALSE),IFERROR(VLOOKUP($C24,'0508'!$C$1:'0508'!G$48,4,FALSE),F24-D24))</f>
        <v>4</v>
      </c>
      <c r="K24" s="8">
        <f ca="1">G24-IFERROR(VLOOKUP($A24,'0508'!$A$1:'0508'!H$44,7,FALSE),IFERROR(VLOOKUP($C24,'0508'!$C$1:'0508'!H$44,5,FALSE),G24-E24))</f>
        <v>0</v>
      </c>
      <c r="L24" s="4">
        <f ca="1" t="shared" si="2"/>
        <v>0</v>
      </c>
      <c r="M24" s="2" t="s">
        <v>78</v>
      </c>
    </row>
    <row r="25" s="2" customFormat="1" spans="1:13">
      <c r="A25" s="2" t="s">
        <v>52</v>
      </c>
      <c r="B25" s="2" t="s">
        <v>10</v>
      </c>
      <c r="C25" s="9">
        <v>45743</v>
      </c>
      <c r="D25" s="2">
        <v>98</v>
      </c>
      <c r="E25" s="2">
        <v>15</v>
      </c>
      <c r="F25" s="2">
        <v>4983</v>
      </c>
      <c r="G25" s="2">
        <v>2001</v>
      </c>
      <c r="H25" s="4">
        <f t="shared" si="0"/>
        <v>0.153061224489796</v>
      </c>
      <c r="I25" s="4">
        <f t="shared" si="1"/>
        <v>0.401565322095123</v>
      </c>
      <c r="J25" s="7">
        <f ca="1">F25-IFERROR(VLOOKUP($A25,'0508'!$A$1:'0508'!G$48,6,FALSE),IFERROR(VLOOKUP($C25,'0508'!$C$1:'0508'!G$48,4,FALSE),F25-D25))</f>
        <v>35</v>
      </c>
      <c r="K25" s="8">
        <f ca="1">G25-IFERROR(VLOOKUP($A25,'0508'!$A$1:'0508'!H$44,7,FALSE),IFERROR(VLOOKUP($C25,'0508'!$C$1:'0508'!H$44,5,FALSE),G25-E25))</f>
        <v>0</v>
      </c>
      <c r="L25" s="4">
        <f ca="1" t="shared" si="2"/>
        <v>0</v>
      </c>
      <c r="M25" s="2" t="s">
        <v>53</v>
      </c>
    </row>
    <row r="26" s="2" customFormat="1" spans="1:13">
      <c r="A26" s="2" t="s">
        <v>54</v>
      </c>
      <c r="B26" s="2" t="s">
        <v>10</v>
      </c>
      <c r="C26" s="9">
        <v>45741</v>
      </c>
      <c r="D26" s="2">
        <v>101</v>
      </c>
      <c r="E26" s="2">
        <v>10</v>
      </c>
      <c r="F26" s="2">
        <v>1302</v>
      </c>
      <c r="G26" s="2">
        <v>692</v>
      </c>
      <c r="H26" s="4">
        <f t="shared" si="0"/>
        <v>0.099009900990099</v>
      </c>
      <c r="I26" s="4">
        <f t="shared" si="1"/>
        <v>0.531490015360983</v>
      </c>
      <c r="J26" s="7">
        <f ca="1">F26-IFERROR(VLOOKUP($A26,'0508'!$A$1:'0508'!G$48,6,FALSE),IFERROR(VLOOKUP($C26,'0508'!$C$1:'0508'!G$48,4,FALSE),F26-D26))</f>
        <v>20</v>
      </c>
      <c r="K26" s="8">
        <f ca="1">G26-IFERROR(VLOOKUP($A26,'0508'!$A$1:'0508'!H$44,7,FALSE),IFERROR(VLOOKUP($C26,'0508'!$C$1:'0508'!H$44,5,FALSE),G26-E26))</f>
        <v>0</v>
      </c>
      <c r="L26" s="4">
        <f ca="1" t="shared" si="2"/>
        <v>0</v>
      </c>
      <c r="M26" s="13" t="s">
        <v>55</v>
      </c>
    </row>
    <row r="27" s="2" customFormat="1" spans="1:14">
      <c r="A27" s="2" t="s">
        <v>85</v>
      </c>
      <c r="B27" s="2" t="s">
        <v>10</v>
      </c>
      <c r="C27" s="9">
        <v>45739</v>
      </c>
      <c r="D27" s="2">
        <v>27</v>
      </c>
      <c r="E27" s="2">
        <v>10</v>
      </c>
      <c r="F27" s="2">
        <v>302</v>
      </c>
      <c r="G27" s="2">
        <v>664</v>
      </c>
      <c r="H27" s="4">
        <f t="shared" si="0"/>
        <v>0.37037037037037</v>
      </c>
      <c r="I27" s="4">
        <f t="shared" si="1"/>
        <v>2.19867549668874</v>
      </c>
      <c r="J27" s="7">
        <f ca="1">F27-IFERROR(VLOOKUP($A27,'0508'!$A$1:'0508'!G$48,6,FALSE),IFERROR(VLOOKUP($C27,'0508'!$C$1:'0508'!G$48,4,FALSE),F27-D27))</f>
        <v>25</v>
      </c>
      <c r="K27" s="8">
        <f ca="1">G27-IFERROR(VLOOKUP($A27,'0508'!$A$1:'0508'!H$44,7,FALSE),IFERROR(VLOOKUP($C27,'0508'!$C$1:'0508'!H$44,5,FALSE),G27-E27))</f>
        <v>0</v>
      </c>
      <c r="L27" s="4">
        <f ca="1" t="shared" si="2"/>
        <v>0</v>
      </c>
      <c r="M27" s="13" t="s">
        <v>86</v>
      </c>
      <c r="N27" s="2" t="s">
        <v>87</v>
      </c>
    </row>
    <row r="28" s="2" customFormat="1" spans="1:13">
      <c r="A28" s="2" t="s">
        <v>56</v>
      </c>
      <c r="B28" s="2" t="s">
        <v>10</v>
      </c>
      <c r="C28" s="9">
        <v>45734</v>
      </c>
      <c r="D28" s="2">
        <v>16</v>
      </c>
      <c r="E28" s="2">
        <v>5</v>
      </c>
      <c r="F28" s="2">
        <v>510</v>
      </c>
      <c r="G28" s="2">
        <v>675</v>
      </c>
      <c r="H28" s="4">
        <f t="shared" si="0"/>
        <v>0.3125</v>
      </c>
      <c r="I28" s="4">
        <f t="shared" si="1"/>
        <v>1.32352941176471</v>
      </c>
      <c r="J28" s="7">
        <f ca="1">F28-IFERROR(VLOOKUP($A28,'0508'!$A$1:'0508'!G$48,6,FALSE),IFERROR(VLOOKUP($C28,'0508'!$C$1:'0508'!G$48,4,FALSE),F28-D28))</f>
        <v>1</v>
      </c>
      <c r="K28" s="8">
        <f ca="1">G28-IFERROR(VLOOKUP($A28,'0508'!$A$1:'0508'!H$44,7,FALSE),IFERROR(VLOOKUP($C28,'0508'!$C$1:'0508'!H$44,5,FALSE),G28-E28))</f>
        <v>0</v>
      </c>
      <c r="L28" s="4">
        <f ca="1" t="shared" si="2"/>
        <v>0</v>
      </c>
      <c r="M28" s="2" t="s">
        <v>79</v>
      </c>
    </row>
    <row r="29" s="2" customFormat="1" spans="1:13">
      <c r="A29" s="2" t="s">
        <v>75</v>
      </c>
      <c r="B29" s="2" t="s">
        <v>10</v>
      </c>
      <c r="C29" s="9">
        <v>45720</v>
      </c>
      <c r="D29" s="2">
        <v>19</v>
      </c>
      <c r="E29" s="2">
        <v>9</v>
      </c>
      <c r="F29" s="2">
        <v>378</v>
      </c>
      <c r="G29" s="2">
        <v>281</v>
      </c>
      <c r="H29" s="4">
        <f t="shared" si="0"/>
        <v>0.473684210526316</v>
      </c>
      <c r="I29" s="4">
        <f t="shared" si="1"/>
        <v>0.743386243386243</v>
      </c>
      <c r="J29" s="7">
        <f ca="1">F29-IFERROR(VLOOKUP($A29,'0508'!$A$1:'0508'!G$48,6,FALSE),IFERROR(VLOOKUP($C29,'0508'!$C$1:'0508'!G$48,4,FALSE),F29-D29))</f>
        <v>3</v>
      </c>
      <c r="K29" s="8">
        <f ca="1">G29-IFERROR(VLOOKUP($A29,'0508'!$A$1:'0508'!H$44,7,FALSE),IFERROR(VLOOKUP($C29,'0508'!$C$1:'0508'!H$44,5,FALSE),G29-E29))</f>
        <v>0</v>
      </c>
      <c r="L29" s="4">
        <f ca="1" t="shared" si="2"/>
        <v>0</v>
      </c>
      <c r="M29" s="13" t="s">
        <v>76</v>
      </c>
    </row>
    <row r="30" s="2" customFormat="1" spans="1:13">
      <c r="A30" s="2" t="s">
        <v>91</v>
      </c>
      <c r="B30" s="2" t="s">
        <v>10</v>
      </c>
      <c r="C30" s="9">
        <v>45474</v>
      </c>
      <c r="D30" s="2">
        <v>3</v>
      </c>
      <c r="E30" s="2">
        <v>1</v>
      </c>
      <c r="F30" s="2">
        <v>476</v>
      </c>
      <c r="G30" s="2">
        <v>37</v>
      </c>
      <c r="H30" s="4">
        <f t="shared" si="0"/>
        <v>0.333333333333333</v>
      </c>
      <c r="I30" s="4">
        <f t="shared" si="1"/>
        <v>0.0777310924369748</v>
      </c>
      <c r="J30" s="7">
        <f ca="1">F30-IFERROR(VLOOKUP($A30,'0508'!$A$1:'0508'!G$48,6,FALSE),IFERROR(VLOOKUP($C30,'0508'!$C$1:'0508'!G$48,4,FALSE),F30-D30))</f>
        <v>3</v>
      </c>
      <c r="K30" s="8">
        <f ca="1">G30-IFERROR(VLOOKUP($A30,'0508'!$A$1:'0508'!H$44,7,FALSE),IFERROR(VLOOKUP($C30,'0508'!$C$1:'0508'!H$44,5,FALSE),G30-E30))</f>
        <v>1</v>
      </c>
      <c r="L30" s="4">
        <f ca="1" t="shared" si="2"/>
        <v>0.333333333333333</v>
      </c>
      <c r="M30" s="2" t="s">
        <v>92</v>
      </c>
    </row>
    <row r="31" spans="11:11">
      <c r="K31" s="2">
        <f ca="1">SUM(K2:K30)</f>
        <v>569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topLeftCell="A7" workbookViewId="0">
      <selection activeCell="A30" sqref="$A30:$XFD30"/>
    </sheetView>
  </sheetViews>
  <sheetFormatPr defaultColWidth="10" defaultRowHeight="14.4"/>
  <cols>
    <col min="1" max="1" width="53.4444444444444" style="2" customWidth="1"/>
    <col min="2" max="2" width="10" style="2" hidden="1" customWidth="1"/>
    <col min="3" max="3" width="9.55555555555556" style="2" customWidth="1"/>
    <col min="4" max="7" width="5.88888888888889" style="2" customWidth="1"/>
    <col min="8" max="9" width="6.77777777777778" style="2" customWidth="1"/>
    <col min="10" max="10" width="7.66666666666667" style="2" customWidth="1"/>
    <col min="11" max="12" width="6.77777777777778" style="2" customWidth="1"/>
    <col min="13" max="13" width="18.6666666666667" style="2" customWidth="1"/>
    <col min="14" max="14" width="19.6666666666667" style="2" customWidth="1"/>
    <col min="15" max="16384" width="10" style="2"/>
  </cols>
  <sheetData>
    <row r="1" s="2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J1" s="5" t="s">
        <v>7</v>
      </c>
      <c r="K1" s="5" t="s">
        <v>8</v>
      </c>
    </row>
    <row r="2" s="2" customFormat="1" spans="1:13">
      <c r="A2" s="2" t="s">
        <v>93</v>
      </c>
      <c r="B2" s="2" t="s">
        <v>10</v>
      </c>
      <c r="C2" s="9">
        <v>45786</v>
      </c>
      <c r="D2" s="2">
        <v>103</v>
      </c>
      <c r="E2" s="2">
        <v>165</v>
      </c>
      <c r="F2" s="2">
        <v>103</v>
      </c>
      <c r="G2" s="2">
        <v>165</v>
      </c>
      <c r="H2" s="4">
        <f>E2/D2</f>
        <v>1.60194174757282</v>
      </c>
      <c r="I2" s="4">
        <f>G2/F2</f>
        <v>1.60194174757282</v>
      </c>
      <c r="J2" s="7">
        <f ca="1">F2-IFERROR(VLOOKUP($A2,'0509'!$A$1:'0509'!G$48,6,FALSE),IFERROR(VLOOKUP($C2,'0509'!$C$1:'0509'!G$48,4,FALSE),F2-D2))</f>
        <v>103</v>
      </c>
      <c r="K2" s="8">
        <f ca="1">G2-IFERROR(VLOOKUP($A2,'0509'!$A$1:'0509'!H$44,7,FALSE),IFERROR(VLOOKUP($C2,'0509'!$C$1:'0509'!H$44,5,FALSE),G2-E2))</f>
        <v>165</v>
      </c>
      <c r="L2" s="4">
        <f ca="1">IFERROR(K2/J2,)</f>
        <v>1.60194174757282</v>
      </c>
      <c r="M2" s="2" t="s">
        <v>94</v>
      </c>
    </row>
    <row r="3" s="2" customFormat="1" spans="1:12">
      <c r="A3" s="2" t="s">
        <v>95</v>
      </c>
      <c r="B3" s="2" t="s">
        <v>10</v>
      </c>
      <c r="C3" s="9">
        <v>45786</v>
      </c>
      <c r="D3" s="2">
        <v>218</v>
      </c>
      <c r="E3" s="2">
        <v>178</v>
      </c>
      <c r="F3" s="2">
        <v>218</v>
      </c>
      <c r="G3" s="2">
        <v>178</v>
      </c>
      <c r="H3" s="4">
        <f t="shared" ref="H3:H32" si="0">E3/D3</f>
        <v>0.81651376146789</v>
      </c>
      <c r="I3" s="4">
        <f t="shared" ref="I3:I32" si="1">G3/F3</f>
        <v>0.81651376146789</v>
      </c>
      <c r="J3" s="7">
        <f ca="1">F3-IFERROR(VLOOKUP($A3,'0509'!$A$1:'0509'!G$48,6,FALSE),IFERROR(VLOOKUP($C3,'0509'!$C$1:'0509'!G$48,4,FALSE),F3-D3))</f>
        <v>218</v>
      </c>
      <c r="K3" s="8">
        <f ca="1">G3-IFERROR(VLOOKUP($A3,'0509'!$A$1:'0509'!H$44,7,FALSE),IFERROR(VLOOKUP($C3,'0509'!$C$1:'0509'!H$44,5,FALSE),G3-E3))</f>
        <v>178</v>
      </c>
      <c r="L3" s="4">
        <f ca="1" t="shared" ref="L3:L32" si="2">IFERROR(K3/J3,)</f>
        <v>0.81651376146789</v>
      </c>
    </row>
    <row r="4" s="2" customFormat="1" spans="1:12">
      <c r="A4" s="2" t="s">
        <v>88</v>
      </c>
      <c r="B4" s="2" t="s">
        <v>10</v>
      </c>
      <c r="C4" s="9">
        <v>45785</v>
      </c>
      <c r="D4" s="2">
        <v>258</v>
      </c>
      <c r="E4" s="2">
        <v>187</v>
      </c>
      <c r="F4" s="2">
        <v>258</v>
      </c>
      <c r="G4" s="2">
        <v>187</v>
      </c>
      <c r="H4" s="4">
        <f t="shared" si="0"/>
        <v>0.724806201550388</v>
      </c>
      <c r="I4" s="4">
        <f t="shared" si="1"/>
        <v>0.724806201550388</v>
      </c>
      <c r="J4" s="7">
        <f ca="1">F4-IFERROR(VLOOKUP($A4,'0509'!$A$1:'0509'!G$48,6,FALSE),IFERROR(VLOOKUP($C4,'0509'!$C$1:'0509'!G$48,4,FALSE),F4-D4))</f>
        <v>65</v>
      </c>
      <c r="K4" s="8">
        <f ca="1">G4-IFERROR(VLOOKUP($A4,'0509'!$A$1:'0509'!H$44,7,FALSE),IFERROR(VLOOKUP($C4,'0509'!$C$1:'0509'!H$44,5,FALSE),G4-E4))</f>
        <v>25</v>
      </c>
      <c r="L4" s="4">
        <f ca="1" t="shared" si="2"/>
        <v>0.384615384615385</v>
      </c>
    </row>
    <row r="5" s="2" customFormat="1" spans="1:12">
      <c r="A5" s="2" t="s">
        <v>83</v>
      </c>
      <c r="B5" s="2" t="s">
        <v>10</v>
      </c>
      <c r="C5" s="9">
        <v>45784</v>
      </c>
      <c r="D5" s="2">
        <v>500</v>
      </c>
      <c r="E5" s="2">
        <v>622</v>
      </c>
      <c r="F5" s="2">
        <v>500</v>
      </c>
      <c r="G5" s="2">
        <v>622</v>
      </c>
      <c r="H5" s="4">
        <f t="shared" si="0"/>
        <v>1.244</v>
      </c>
      <c r="I5" s="4">
        <f t="shared" si="1"/>
        <v>1.244</v>
      </c>
      <c r="J5" s="7">
        <f ca="1">F5-IFERROR(VLOOKUP($A5,'0509'!$A$1:'0509'!G$48,6,FALSE),IFERROR(VLOOKUP($C5,'0509'!$C$1:'0509'!G$48,4,FALSE),F5-D5))</f>
        <v>215</v>
      </c>
      <c r="K5" s="8">
        <f ca="1">G5-IFERROR(VLOOKUP($A5,'0509'!$A$1:'0509'!H$44,7,FALSE),IFERROR(VLOOKUP($C5,'0509'!$C$1:'0509'!H$44,5,FALSE),G5-E5))</f>
        <v>14</v>
      </c>
      <c r="L5" s="4">
        <f ca="1" t="shared" si="2"/>
        <v>0.0651162790697674</v>
      </c>
    </row>
    <row r="6" s="2" customFormat="1" spans="1:12">
      <c r="A6" s="2" t="s">
        <v>80</v>
      </c>
      <c r="B6" s="2" t="s">
        <v>10</v>
      </c>
      <c r="C6" s="9">
        <v>45783</v>
      </c>
      <c r="D6" s="2">
        <v>185</v>
      </c>
      <c r="E6" s="2">
        <v>212</v>
      </c>
      <c r="F6" s="2">
        <v>185</v>
      </c>
      <c r="G6" s="2">
        <v>212</v>
      </c>
      <c r="H6" s="4">
        <f t="shared" si="0"/>
        <v>1.14594594594595</v>
      </c>
      <c r="I6" s="4">
        <f t="shared" si="1"/>
        <v>1.14594594594595</v>
      </c>
      <c r="J6" s="7">
        <f ca="1">F6-IFERROR(VLOOKUP($A6,'0509'!$A$1:'0509'!G$48,6,FALSE),IFERROR(VLOOKUP($C6,'0509'!$C$1:'0509'!G$48,4,FALSE),F6-D6))</f>
        <v>24</v>
      </c>
      <c r="K6" s="8">
        <f ca="1">G6-IFERROR(VLOOKUP($A6,'0509'!$A$1:'0509'!H$44,7,FALSE),IFERROR(VLOOKUP($C6,'0509'!$C$1:'0509'!H$44,5,FALSE),G6-E6))</f>
        <v>8</v>
      </c>
      <c r="L6" s="4">
        <f ca="1" t="shared" si="2"/>
        <v>0.333333333333333</v>
      </c>
    </row>
    <row r="7" s="2" customFormat="1" spans="1:12">
      <c r="A7" s="2" t="s">
        <v>81</v>
      </c>
      <c r="B7" s="2" t="s">
        <v>10</v>
      </c>
      <c r="C7" s="9">
        <v>45783</v>
      </c>
      <c r="D7" s="2">
        <v>135</v>
      </c>
      <c r="E7" s="2">
        <v>203</v>
      </c>
      <c r="F7" s="2">
        <v>135</v>
      </c>
      <c r="G7" s="2">
        <v>203</v>
      </c>
      <c r="H7" s="4">
        <f t="shared" si="0"/>
        <v>1.5037037037037</v>
      </c>
      <c r="I7" s="4">
        <f t="shared" si="1"/>
        <v>1.5037037037037</v>
      </c>
      <c r="J7" s="7">
        <f ca="1">F7-IFERROR(VLOOKUP($A7,'0509'!$A$1:'0509'!G$48,6,FALSE),IFERROR(VLOOKUP($C7,'0509'!$C$1:'0509'!G$48,4,FALSE),F7-D7))</f>
        <v>8</v>
      </c>
      <c r="K7" s="8">
        <f ca="1">G7-IFERROR(VLOOKUP($A7,'0509'!$A$1:'0509'!H$44,7,FALSE),IFERROR(VLOOKUP($C7,'0509'!$C$1:'0509'!H$44,5,FALSE),G7-E7))</f>
        <v>0</v>
      </c>
      <c r="L7" s="4">
        <f ca="1" t="shared" si="2"/>
        <v>0</v>
      </c>
    </row>
    <row r="8" s="2" customFormat="1" spans="1:12">
      <c r="A8" s="2" t="s">
        <v>77</v>
      </c>
      <c r="B8" s="2" t="s">
        <v>10</v>
      </c>
      <c r="C8" s="9">
        <v>45782</v>
      </c>
      <c r="D8" s="2">
        <v>307</v>
      </c>
      <c r="E8" s="2">
        <v>208</v>
      </c>
      <c r="F8" s="2">
        <v>307</v>
      </c>
      <c r="G8" s="2">
        <v>208</v>
      </c>
      <c r="H8" s="4">
        <f t="shared" si="0"/>
        <v>0.677524429967427</v>
      </c>
      <c r="I8" s="4">
        <f t="shared" si="1"/>
        <v>0.677524429967427</v>
      </c>
      <c r="J8" s="7">
        <f ca="1">F8-IFERROR(VLOOKUP($A8,'0509'!$A$1:'0509'!G$48,6,FALSE),IFERROR(VLOOKUP($C8,'0509'!$C$1:'0509'!G$48,4,FALSE),F8-D8))</f>
        <v>11</v>
      </c>
      <c r="K8" s="8">
        <f ca="1">G8-IFERROR(VLOOKUP($A8,'0509'!$A$1:'0509'!H$44,7,FALSE),IFERROR(VLOOKUP($C8,'0509'!$C$1:'0509'!H$44,5,FALSE),G8-E8))</f>
        <v>0</v>
      </c>
      <c r="L8" s="4">
        <f ca="1" t="shared" si="2"/>
        <v>0</v>
      </c>
    </row>
    <row r="9" s="2" customFormat="1" spans="1:12">
      <c r="A9" s="2" t="s">
        <v>72</v>
      </c>
      <c r="B9" s="2" t="s">
        <v>10</v>
      </c>
      <c r="C9" s="9">
        <v>45781</v>
      </c>
      <c r="D9" s="2">
        <v>264</v>
      </c>
      <c r="E9" s="2">
        <v>615</v>
      </c>
      <c r="F9" s="2">
        <v>264</v>
      </c>
      <c r="G9" s="2">
        <v>615</v>
      </c>
      <c r="H9" s="4">
        <f t="shared" si="0"/>
        <v>2.32954545454545</v>
      </c>
      <c r="I9" s="4">
        <f t="shared" si="1"/>
        <v>2.32954545454545</v>
      </c>
      <c r="J9" s="7">
        <f ca="1">F9-IFERROR(VLOOKUP($A9,'0509'!$A$1:'0509'!G$48,6,FALSE),IFERROR(VLOOKUP($C9,'0509'!$C$1:'0509'!G$48,4,FALSE),F9-D9))</f>
        <v>25</v>
      </c>
      <c r="K9" s="8">
        <f ca="1">G9-IFERROR(VLOOKUP($A9,'0509'!$A$1:'0509'!H$44,7,FALSE),IFERROR(VLOOKUP($C9,'0509'!$C$1:'0509'!H$44,5,FALSE),G9-E9))</f>
        <v>6</v>
      </c>
      <c r="L9" s="4">
        <f ca="1" t="shared" si="2"/>
        <v>0.24</v>
      </c>
    </row>
    <row r="10" s="2" customFormat="1" spans="1:12">
      <c r="A10" s="2" t="s">
        <v>69</v>
      </c>
      <c r="B10" s="2" t="s">
        <v>10</v>
      </c>
      <c r="C10" s="9">
        <v>45780</v>
      </c>
      <c r="D10" s="2">
        <v>1218</v>
      </c>
      <c r="E10" s="2">
        <v>537</v>
      </c>
      <c r="F10" s="2">
        <v>1218</v>
      </c>
      <c r="G10" s="2">
        <v>537</v>
      </c>
      <c r="H10" s="4">
        <f t="shared" si="0"/>
        <v>0.440886699507389</v>
      </c>
      <c r="I10" s="4">
        <f t="shared" si="1"/>
        <v>0.440886699507389</v>
      </c>
      <c r="J10" s="7">
        <f ca="1">F10-IFERROR(VLOOKUP($A10,'0509'!$A$1:'0509'!G$48,6,FALSE),IFERROR(VLOOKUP($C10,'0509'!$C$1:'0509'!G$48,4,FALSE),F10-D10))</f>
        <v>46</v>
      </c>
      <c r="K10" s="8">
        <f ca="1">G10-IFERROR(VLOOKUP($A10,'0509'!$A$1:'0509'!H$44,7,FALSE),IFERROR(VLOOKUP($C10,'0509'!$C$1:'0509'!H$44,5,FALSE),G10-E10))</f>
        <v>0</v>
      </c>
      <c r="L10" s="4">
        <f ca="1" t="shared" si="2"/>
        <v>0</v>
      </c>
    </row>
    <row r="11" s="2" customFormat="1" spans="1:12">
      <c r="A11" s="2" t="s">
        <v>68</v>
      </c>
      <c r="B11" s="2" t="s">
        <v>10</v>
      </c>
      <c r="C11" s="9">
        <v>45779</v>
      </c>
      <c r="D11" s="2">
        <v>92</v>
      </c>
      <c r="E11" s="2">
        <v>63</v>
      </c>
      <c r="F11" s="2">
        <v>192</v>
      </c>
      <c r="G11" s="2">
        <v>147</v>
      </c>
      <c r="H11" s="4">
        <f t="shared" si="0"/>
        <v>0.684782608695652</v>
      </c>
      <c r="I11" s="4">
        <f t="shared" si="1"/>
        <v>0.765625</v>
      </c>
      <c r="J11" s="7">
        <f ca="1">F11-IFERROR(VLOOKUP($A11,'0509'!$A$1:'0509'!G$48,6,FALSE),IFERROR(VLOOKUP($C11,'0509'!$C$1:'0509'!G$48,4,FALSE),F11-D11))</f>
        <v>16</v>
      </c>
      <c r="K11" s="8">
        <f ca="1">G11-IFERROR(VLOOKUP($A11,'0509'!$A$1:'0509'!H$44,7,FALSE),IFERROR(VLOOKUP($C11,'0509'!$C$1:'0509'!H$44,5,FALSE),G11-E11))</f>
        <v>0</v>
      </c>
      <c r="L11" s="4">
        <f ca="1" t="shared" si="2"/>
        <v>0</v>
      </c>
    </row>
    <row r="12" s="2" customFormat="1" spans="1:12">
      <c r="A12" s="2" t="s">
        <v>66</v>
      </c>
      <c r="B12" s="2" t="s">
        <v>10</v>
      </c>
      <c r="C12" s="9">
        <v>45778</v>
      </c>
      <c r="D12" s="2">
        <v>73</v>
      </c>
      <c r="E12" s="2">
        <v>28</v>
      </c>
      <c r="F12" s="2">
        <v>383</v>
      </c>
      <c r="G12" s="2">
        <v>168</v>
      </c>
      <c r="H12" s="4">
        <f t="shared" si="0"/>
        <v>0.383561643835616</v>
      </c>
      <c r="I12" s="4">
        <f t="shared" si="1"/>
        <v>0.438642297650131</v>
      </c>
      <c r="J12" s="7">
        <f ca="1">F12-IFERROR(VLOOKUP($A12,'0509'!$A$1:'0509'!G$48,6,FALSE),IFERROR(VLOOKUP($C12,'0509'!$C$1:'0509'!G$48,4,FALSE),F12-D12))</f>
        <v>5</v>
      </c>
      <c r="K12" s="8">
        <f ca="1">G12-IFERROR(VLOOKUP($A12,'0509'!$A$1:'0509'!H$44,7,FALSE),IFERROR(VLOOKUP($C12,'0509'!$C$1:'0509'!H$44,5,FALSE),G12-E12))</f>
        <v>0</v>
      </c>
      <c r="L12" s="4">
        <f ca="1" t="shared" si="2"/>
        <v>0</v>
      </c>
    </row>
    <row r="13" s="2" customFormat="1" spans="1:13">
      <c r="A13" s="2" t="s">
        <v>9</v>
      </c>
      <c r="B13" s="2" t="s">
        <v>10</v>
      </c>
      <c r="C13" s="9">
        <v>45777</v>
      </c>
      <c r="D13" s="2">
        <v>57</v>
      </c>
      <c r="E13" s="2">
        <v>21</v>
      </c>
      <c r="F13" s="2">
        <v>239</v>
      </c>
      <c r="G13" s="2">
        <v>304</v>
      </c>
      <c r="H13" s="4">
        <f t="shared" si="0"/>
        <v>0.368421052631579</v>
      </c>
      <c r="I13" s="4">
        <f t="shared" si="1"/>
        <v>1.27196652719665</v>
      </c>
      <c r="J13" s="7">
        <f ca="1">F13-IFERROR(VLOOKUP($A13,'0509'!$A$1:'0509'!G$48,6,FALSE),IFERROR(VLOOKUP($C13,'0509'!$C$1:'0509'!G$48,4,FALSE),F13-D13))</f>
        <v>0</v>
      </c>
      <c r="K13" s="8">
        <f ca="1">G13-IFERROR(VLOOKUP($A13,'0509'!$A$1:'0509'!H$44,7,FALSE),IFERROR(VLOOKUP($C13,'0509'!$C$1:'0509'!H$44,5,FALSE),G13-E13))</f>
        <v>0</v>
      </c>
      <c r="L13" s="4">
        <f ca="1" t="shared" si="2"/>
        <v>0</v>
      </c>
      <c r="M13" s="2" t="s">
        <v>84</v>
      </c>
    </row>
    <row r="14" s="2" customFormat="1" spans="1:13">
      <c r="A14" s="2" t="s">
        <v>11</v>
      </c>
      <c r="B14" s="2" t="s">
        <v>10</v>
      </c>
      <c r="C14" s="9">
        <v>45777</v>
      </c>
      <c r="D14" s="2">
        <v>84</v>
      </c>
      <c r="E14" s="2">
        <v>462</v>
      </c>
      <c r="F14" s="2">
        <v>170</v>
      </c>
      <c r="G14" s="2">
        <v>684</v>
      </c>
      <c r="H14" s="4">
        <f t="shared" si="0"/>
        <v>5.5</v>
      </c>
      <c r="I14" s="4">
        <f t="shared" si="1"/>
        <v>4.02352941176471</v>
      </c>
      <c r="J14" s="7">
        <f ca="1">F14-IFERROR(VLOOKUP($A14,'0509'!$A$1:'0509'!G$48,6,FALSE),IFERROR(VLOOKUP($C14,'0509'!$C$1:'0509'!G$48,4,FALSE),F14-D14))</f>
        <v>12</v>
      </c>
      <c r="K14" s="8">
        <f ca="1">G14-IFERROR(VLOOKUP($A14,'0509'!$A$1:'0509'!H$44,7,FALSE),IFERROR(VLOOKUP($C14,'0509'!$C$1:'0509'!H$44,5,FALSE),G14-E14))</f>
        <v>6</v>
      </c>
      <c r="L14" s="4">
        <f ca="1" t="shared" si="2"/>
        <v>0.5</v>
      </c>
      <c r="M14" s="2" t="s">
        <v>67</v>
      </c>
    </row>
    <row r="15" s="2" customFormat="1" spans="1:12">
      <c r="A15" s="2" t="s">
        <v>12</v>
      </c>
      <c r="B15" s="2" t="s">
        <v>10</v>
      </c>
      <c r="C15" s="9">
        <v>45776</v>
      </c>
      <c r="D15" s="2">
        <v>156</v>
      </c>
      <c r="E15" s="2">
        <v>4</v>
      </c>
      <c r="F15" s="2">
        <v>672</v>
      </c>
      <c r="G15" s="2">
        <v>397</v>
      </c>
      <c r="H15" s="4">
        <f t="shared" si="0"/>
        <v>0.0256410256410256</v>
      </c>
      <c r="I15" s="4">
        <f t="shared" si="1"/>
        <v>0.59077380952381</v>
      </c>
      <c r="J15" s="7">
        <f ca="1">F15-IFERROR(VLOOKUP($A15,'0509'!$A$1:'0509'!G$48,6,FALSE),IFERROR(VLOOKUP($C15,'0509'!$C$1:'0509'!G$48,4,FALSE),F15-D15))</f>
        <v>9</v>
      </c>
      <c r="K15" s="8">
        <f ca="1">G15-IFERROR(VLOOKUP($A15,'0509'!$A$1:'0509'!H$44,7,FALSE),IFERROR(VLOOKUP($C15,'0509'!$C$1:'0509'!H$44,5,FALSE),G15-E15))</f>
        <v>0</v>
      </c>
      <c r="L15" s="4">
        <f ca="1" t="shared" si="2"/>
        <v>0</v>
      </c>
    </row>
    <row r="16" s="2" customFormat="1" spans="1:12">
      <c r="A16" s="2" t="s">
        <v>16</v>
      </c>
      <c r="B16" s="2" t="s">
        <v>10</v>
      </c>
      <c r="C16" s="9">
        <v>45774</v>
      </c>
      <c r="D16" s="2">
        <v>28</v>
      </c>
      <c r="E16" s="2">
        <v>4</v>
      </c>
      <c r="F16" s="2">
        <v>416</v>
      </c>
      <c r="G16" s="2">
        <v>371</v>
      </c>
      <c r="H16" s="4">
        <f t="shared" si="0"/>
        <v>0.142857142857143</v>
      </c>
      <c r="I16" s="4">
        <f t="shared" si="1"/>
        <v>0.891826923076923</v>
      </c>
      <c r="J16" s="7">
        <f ca="1">F16-IFERROR(VLOOKUP($A16,'0509'!$A$1:'0509'!G$48,6,FALSE),IFERROR(VLOOKUP($C16,'0509'!$C$1:'0509'!G$48,4,FALSE),F16-D16))</f>
        <v>1</v>
      </c>
      <c r="K16" s="8">
        <f ca="1">G16-IFERROR(VLOOKUP($A16,'0509'!$A$1:'0509'!H$44,7,FALSE),IFERROR(VLOOKUP($C16,'0509'!$C$1:'0509'!H$44,5,FALSE),G16-E16))</f>
        <v>0</v>
      </c>
      <c r="L16" s="4">
        <f ca="1" t="shared" si="2"/>
        <v>0</v>
      </c>
    </row>
    <row r="17" s="2" customFormat="1" spans="1:12">
      <c r="A17" s="2" t="s">
        <v>22</v>
      </c>
      <c r="B17" s="2" t="s">
        <v>10</v>
      </c>
      <c r="C17" s="9">
        <v>45771</v>
      </c>
      <c r="D17" s="2">
        <v>43</v>
      </c>
      <c r="E17" s="2">
        <v>4</v>
      </c>
      <c r="F17" s="2">
        <v>210</v>
      </c>
      <c r="G17" s="2">
        <v>125</v>
      </c>
      <c r="H17" s="4">
        <f t="shared" si="0"/>
        <v>0.0930232558139535</v>
      </c>
      <c r="I17" s="4">
        <f t="shared" si="1"/>
        <v>0.595238095238095</v>
      </c>
      <c r="J17" s="7">
        <f ca="1">F17-IFERROR(VLOOKUP($A17,'0509'!$A$1:'0509'!G$48,6,FALSE),IFERROR(VLOOKUP($C17,'0509'!$C$1:'0509'!G$48,4,FALSE),F17-D17))</f>
        <v>2</v>
      </c>
      <c r="K17" s="8">
        <f ca="1">G17-IFERROR(VLOOKUP($A17,'0509'!$A$1:'0509'!H$44,7,FALSE),IFERROR(VLOOKUP($C17,'0509'!$C$1:'0509'!H$44,5,FALSE),G17-E17))</f>
        <v>0</v>
      </c>
      <c r="L17" s="4">
        <f ca="1" t="shared" si="2"/>
        <v>0</v>
      </c>
    </row>
    <row r="18" s="2" customFormat="1" spans="1:12">
      <c r="A18" s="2" t="s">
        <v>38</v>
      </c>
      <c r="B18" s="2" t="s">
        <v>10</v>
      </c>
      <c r="C18" s="9">
        <v>45764</v>
      </c>
      <c r="D18" s="2">
        <v>58</v>
      </c>
      <c r="E18" s="2">
        <v>21</v>
      </c>
      <c r="F18" s="2">
        <v>414</v>
      </c>
      <c r="G18" s="2">
        <v>282</v>
      </c>
      <c r="H18" s="4">
        <f t="shared" si="0"/>
        <v>0.362068965517241</v>
      </c>
      <c r="I18" s="4">
        <f t="shared" si="1"/>
        <v>0.681159420289855</v>
      </c>
      <c r="J18" s="7">
        <f ca="1">F18-IFERROR(VLOOKUP($A18,'0509'!$A$1:'0509'!G$48,6,FALSE),IFERROR(VLOOKUP($C18,'0509'!$C$1:'0509'!G$48,4,FALSE),F18-D18))</f>
        <v>12</v>
      </c>
      <c r="K18" s="8">
        <f ca="1">G18-IFERROR(VLOOKUP($A18,'0509'!$A$1:'0509'!H$44,7,FALSE),IFERROR(VLOOKUP($C18,'0509'!$C$1:'0509'!H$44,5,FALSE),G18-E18))</f>
        <v>0</v>
      </c>
      <c r="L18" s="4">
        <f ca="1" t="shared" si="2"/>
        <v>0</v>
      </c>
    </row>
    <row r="19" s="2" customFormat="1" spans="1:13">
      <c r="A19" s="2" t="s">
        <v>39</v>
      </c>
      <c r="B19" s="2" t="s">
        <v>10</v>
      </c>
      <c r="C19" s="9">
        <v>45763</v>
      </c>
      <c r="D19" s="2">
        <v>10</v>
      </c>
      <c r="E19" s="2">
        <v>8</v>
      </c>
      <c r="F19" s="2">
        <v>661</v>
      </c>
      <c r="G19" s="2">
        <v>378</v>
      </c>
      <c r="H19" s="4">
        <f t="shared" si="0"/>
        <v>0.8</v>
      </c>
      <c r="I19" s="4">
        <f t="shared" si="1"/>
        <v>0.571860816944024</v>
      </c>
      <c r="J19" s="7">
        <f ca="1">F19-IFERROR(VLOOKUP($A19,'0509'!$A$1:'0509'!G$48,6,FALSE),IFERROR(VLOOKUP($C19,'0509'!$C$1:'0509'!G$48,4,FALSE),F19-D19))</f>
        <v>4</v>
      </c>
      <c r="K19" s="8">
        <f ca="1">G19-IFERROR(VLOOKUP($A19,'0509'!$A$1:'0509'!H$44,7,FALSE),IFERROR(VLOOKUP($C19,'0509'!$C$1:'0509'!H$44,5,FALSE),G19-E19))</f>
        <v>0</v>
      </c>
      <c r="L19" s="4">
        <f ca="1" t="shared" si="2"/>
        <v>0</v>
      </c>
      <c r="M19" s="2" t="s">
        <v>90</v>
      </c>
    </row>
    <row r="20" s="2" customFormat="1" spans="1:13">
      <c r="A20" s="2" t="s">
        <v>42</v>
      </c>
      <c r="B20" s="2" t="s">
        <v>10</v>
      </c>
      <c r="C20" s="9">
        <v>45762</v>
      </c>
      <c r="D20" s="2">
        <v>22</v>
      </c>
      <c r="E20" s="2">
        <v>6</v>
      </c>
      <c r="F20" s="2">
        <v>620</v>
      </c>
      <c r="G20" s="2">
        <v>647</v>
      </c>
      <c r="H20" s="4">
        <f t="shared" si="0"/>
        <v>0.272727272727273</v>
      </c>
      <c r="I20" s="4">
        <f t="shared" si="1"/>
        <v>1.04354838709677</v>
      </c>
      <c r="J20" s="7">
        <f ca="1">F20-IFERROR(VLOOKUP($A20,'0509'!$A$1:'0509'!G$48,6,FALSE),IFERROR(VLOOKUP($C20,'0509'!$C$1:'0509'!G$48,4,FALSE),F20-D20))</f>
        <v>2</v>
      </c>
      <c r="K20" s="8">
        <f ca="1">G20-IFERROR(VLOOKUP($A20,'0509'!$A$1:'0509'!H$44,7,FALSE),IFERROR(VLOOKUP($C20,'0509'!$C$1:'0509'!H$44,5,FALSE),G20-E20))</f>
        <v>0</v>
      </c>
      <c r="L20" s="4">
        <f ca="1" t="shared" si="2"/>
        <v>0</v>
      </c>
      <c r="M20" s="2" t="s">
        <v>43</v>
      </c>
    </row>
    <row r="21" s="2" customFormat="1" spans="1:13">
      <c r="A21" s="2" t="s">
        <v>44</v>
      </c>
      <c r="B21" s="2" t="s">
        <v>10</v>
      </c>
      <c r="C21" s="9">
        <v>45761</v>
      </c>
      <c r="D21" s="2">
        <v>13</v>
      </c>
      <c r="E21" s="2">
        <v>32</v>
      </c>
      <c r="F21" s="2">
        <v>1069</v>
      </c>
      <c r="G21" s="2">
        <v>951</v>
      </c>
      <c r="H21" s="4">
        <f t="shared" si="0"/>
        <v>2.46153846153846</v>
      </c>
      <c r="I21" s="4">
        <f t="shared" si="1"/>
        <v>0.889616463985033</v>
      </c>
      <c r="J21" s="7">
        <f ca="1">F21-IFERROR(VLOOKUP($A21,'0509'!$A$1:'0509'!G$48,6,FALSE),IFERROR(VLOOKUP($C21,'0509'!$C$1:'0509'!G$48,4,FALSE),F21-D21))</f>
        <v>2</v>
      </c>
      <c r="K21" s="8">
        <f ca="1">G21-IFERROR(VLOOKUP($A21,'0509'!$A$1:'0509'!H$44,7,FALSE),IFERROR(VLOOKUP($C21,'0509'!$C$1:'0509'!H$44,5,FALSE),G21-E21))</f>
        <v>0</v>
      </c>
      <c r="L21" s="4">
        <f ca="1" t="shared" si="2"/>
        <v>0</v>
      </c>
      <c r="M21" s="2" t="s">
        <v>45</v>
      </c>
    </row>
    <row r="22" s="2" customFormat="1" spans="1:13">
      <c r="A22" s="2" t="s">
        <v>73</v>
      </c>
      <c r="B22" s="2" t="s">
        <v>10</v>
      </c>
      <c r="C22" s="9">
        <v>45755</v>
      </c>
      <c r="D22" s="2">
        <v>16</v>
      </c>
      <c r="E22" s="2">
        <v>6</v>
      </c>
      <c r="F22" s="2">
        <v>455</v>
      </c>
      <c r="G22" s="2">
        <v>511</v>
      </c>
      <c r="H22" s="4">
        <f t="shared" si="0"/>
        <v>0.375</v>
      </c>
      <c r="I22" s="4">
        <f t="shared" si="1"/>
        <v>1.12307692307692</v>
      </c>
      <c r="J22" s="7">
        <f ca="1">F22-IFERROR(VLOOKUP($A22,'0509'!$A$1:'0509'!G$48,6,FALSE),IFERROR(VLOOKUP($C22,'0509'!$C$1:'0509'!G$48,4,FALSE),F22-D22))</f>
        <v>2</v>
      </c>
      <c r="K22" s="8">
        <f ca="1">G22-IFERROR(VLOOKUP($A22,'0509'!$A$1:'0509'!H$44,7,FALSE),IFERROR(VLOOKUP($C22,'0509'!$C$1:'0509'!H$44,5,FALSE),G22-E22))</f>
        <v>0</v>
      </c>
      <c r="L22" s="4">
        <f ca="1" t="shared" si="2"/>
        <v>0</v>
      </c>
      <c r="M22" s="2" t="s">
        <v>74</v>
      </c>
    </row>
    <row r="23" s="2" customFormat="1" spans="1:13">
      <c r="A23" s="2" t="s">
        <v>96</v>
      </c>
      <c r="B23" s="2" t="s">
        <v>10</v>
      </c>
      <c r="C23" s="9">
        <v>45752</v>
      </c>
      <c r="D23" s="2">
        <v>28</v>
      </c>
      <c r="E23" s="2">
        <v>11</v>
      </c>
      <c r="F23" s="2">
        <v>9545</v>
      </c>
      <c r="G23" s="2">
        <v>1168</v>
      </c>
      <c r="H23" s="4">
        <f t="shared" si="0"/>
        <v>0.392857142857143</v>
      </c>
      <c r="I23" s="4">
        <f t="shared" si="1"/>
        <v>0.122367731796752</v>
      </c>
      <c r="J23" s="7">
        <f ca="1">F23-IFERROR(VLOOKUP($A23,'0509'!$A$1:'0509'!G$48,6,FALSE),IFERROR(VLOOKUP($C23,'0509'!$C$1:'0509'!G$48,4,FALSE),F23-D23))</f>
        <v>28</v>
      </c>
      <c r="K23" s="8">
        <f ca="1">G23-IFERROR(VLOOKUP($A23,'0509'!$A$1:'0509'!H$44,7,FALSE),IFERROR(VLOOKUP($C23,'0509'!$C$1:'0509'!H$44,5,FALSE),G23-E23))</f>
        <v>11</v>
      </c>
      <c r="L23" s="4">
        <f ca="1" t="shared" si="2"/>
        <v>0.392857142857143</v>
      </c>
      <c r="M23" s="2" t="s">
        <v>97</v>
      </c>
    </row>
    <row r="24" s="2" customFormat="1" spans="1:13">
      <c r="A24" s="2" t="s">
        <v>70</v>
      </c>
      <c r="B24" s="2" t="s">
        <v>10</v>
      </c>
      <c r="C24" s="9">
        <v>45751</v>
      </c>
      <c r="D24" s="2">
        <v>41</v>
      </c>
      <c r="E24" s="2">
        <v>8</v>
      </c>
      <c r="F24" s="2">
        <v>197</v>
      </c>
      <c r="G24" s="2">
        <v>266</v>
      </c>
      <c r="H24" s="4">
        <f t="shared" si="0"/>
        <v>0.195121951219512</v>
      </c>
      <c r="I24" s="4">
        <f t="shared" si="1"/>
        <v>1.3502538071066</v>
      </c>
      <c r="J24" s="7">
        <f ca="1">F24-IFERROR(VLOOKUP($A24,'0509'!$A$1:'0509'!G$48,6,FALSE),IFERROR(VLOOKUP($C24,'0509'!$C$1:'0509'!G$48,4,FALSE),F24-D24))</f>
        <v>5</v>
      </c>
      <c r="K24" s="8">
        <f ca="1">G24-IFERROR(VLOOKUP($A24,'0509'!$A$1:'0509'!H$44,7,FALSE),IFERROR(VLOOKUP($C24,'0509'!$C$1:'0509'!H$44,5,FALSE),G24-E24))</f>
        <v>0</v>
      </c>
      <c r="L24" s="4">
        <f ca="1" t="shared" si="2"/>
        <v>0</v>
      </c>
      <c r="M24" s="2" t="s">
        <v>71</v>
      </c>
    </row>
    <row r="25" s="2" customFormat="1" spans="1:13">
      <c r="A25" s="2" t="s">
        <v>50</v>
      </c>
      <c r="B25" s="2" t="s">
        <v>10</v>
      </c>
      <c r="C25" s="9">
        <v>45748</v>
      </c>
      <c r="D25" s="2">
        <v>34</v>
      </c>
      <c r="E25" s="2">
        <v>5</v>
      </c>
      <c r="F25" s="2">
        <v>224504</v>
      </c>
      <c r="G25" s="2">
        <v>10598</v>
      </c>
      <c r="H25" s="4">
        <f t="shared" si="0"/>
        <v>0.147058823529412</v>
      </c>
      <c r="I25" s="4">
        <f t="shared" si="1"/>
        <v>0.0472062858568221</v>
      </c>
      <c r="J25" s="7">
        <f ca="1">F25-IFERROR(VLOOKUP($A25,'0509'!$A$1:'0509'!G$48,6,FALSE),IFERROR(VLOOKUP($C25,'0509'!$C$1:'0509'!G$48,4,FALSE),F25-D25))</f>
        <v>3</v>
      </c>
      <c r="K25" s="8">
        <f ca="1">G25-IFERROR(VLOOKUP($A25,'0509'!$A$1:'0509'!H$44,7,FALSE),IFERROR(VLOOKUP($C25,'0509'!$C$1:'0509'!H$44,5,FALSE),G25-E25))</f>
        <v>0</v>
      </c>
      <c r="L25" s="4">
        <f ca="1" t="shared" si="2"/>
        <v>0</v>
      </c>
      <c r="M25" s="2" t="s">
        <v>78</v>
      </c>
    </row>
    <row r="26" s="2" customFormat="1" spans="1:13">
      <c r="A26" s="2" t="s">
        <v>52</v>
      </c>
      <c r="B26" s="2" t="s">
        <v>10</v>
      </c>
      <c r="C26" s="9">
        <v>45743</v>
      </c>
      <c r="D26" s="2">
        <v>106</v>
      </c>
      <c r="E26" s="2">
        <v>20</v>
      </c>
      <c r="F26" s="2">
        <v>4999</v>
      </c>
      <c r="G26" s="2">
        <v>2011</v>
      </c>
      <c r="H26" s="4">
        <f t="shared" si="0"/>
        <v>0.188679245283019</v>
      </c>
      <c r="I26" s="4">
        <f t="shared" si="1"/>
        <v>0.402280456091218</v>
      </c>
      <c r="J26" s="7">
        <f ca="1">F26-IFERROR(VLOOKUP($A26,'0509'!$A$1:'0509'!G$48,6,FALSE),IFERROR(VLOOKUP($C26,'0509'!$C$1:'0509'!G$48,4,FALSE),F26-D26))</f>
        <v>16</v>
      </c>
      <c r="K26" s="8">
        <f ca="1">G26-IFERROR(VLOOKUP($A26,'0509'!$A$1:'0509'!H$44,7,FALSE),IFERROR(VLOOKUP($C26,'0509'!$C$1:'0509'!H$44,5,FALSE),G26-E26))</f>
        <v>10</v>
      </c>
      <c r="L26" s="4">
        <f ca="1" t="shared" si="2"/>
        <v>0.625</v>
      </c>
      <c r="M26" s="2" t="s">
        <v>53</v>
      </c>
    </row>
    <row r="27" s="2" customFormat="1" spans="1:13">
      <c r="A27" s="2" t="s">
        <v>54</v>
      </c>
      <c r="B27" s="2" t="s">
        <v>10</v>
      </c>
      <c r="C27" s="9">
        <v>45741</v>
      </c>
      <c r="D27" s="2">
        <v>101</v>
      </c>
      <c r="E27" s="2">
        <v>5</v>
      </c>
      <c r="F27" s="2">
        <v>1314</v>
      </c>
      <c r="G27" s="2">
        <v>692</v>
      </c>
      <c r="H27" s="4">
        <f t="shared" si="0"/>
        <v>0.0495049504950495</v>
      </c>
      <c r="I27" s="4">
        <f t="shared" si="1"/>
        <v>0.526636225266362</v>
      </c>
      <c r="J27" s="7">
        <f ca="1">F27-IFERROR(VLOOKUP($A27,'0509'!$A$1:'0509'!G$48,6,FALSE),IFERROR(VLOOKUP($C27,'0509'!$C$1:'0509'!G$48,4,FALSE),F27-D27))</f>
        <v>12</v>
      </c>
      <c r="K27" s="8">
        <f ca="1">G27-IFERROR(VLOOKUP($A27,'0509'!$A$1:'0509'!H$44,7,FALSE),IFERROR(VLOOKUP($C27,'0509'!$C$1:'0509'!H$44,5,FALSE),G27-E27))</f>
        <v>0</v>
      </c>
      <c r="L27" s="4">
        <f ca="1" t="shared" si="2"/>
        <v>0</v>
      </c>
      <c r="M27" s="13" t="s">
        <v>55</v>
      </c>
    </row>
    <row r="28" s="2" customFormat="1" spans="1:14">
      <c r="A28" s="2" t="s">
        <v>85</v>
      </c>
      <c r="B28" s="2" t="s">
        <v>10</v>
      </c>
      <c r="C28" s="9">
        <v>45739</v>
      </c>
      <c r="D28" s="2">
        <v>27</v>
      </c>
      <c r="E28" s="2">
        <v>10</v>
      </c>
      <c r="F28" s="2">
        <v>302</v>
      </c>
      <c r="G28" s="2">
        <v>664</v>
      </c>
      <c r="H28" s="4">
        <f t="shared" si="0"/>
        <v>0.37037037037037</v>
      </c>
      <c r="I28" s="4">
        <f t="shared" si="1"/>
        <v>2.19867549668874</v>
      </c>
      <c r="J28" s="7">
        <f ca="1">F28-IFERROR(VLOOKUP($A28,'0509'!$A$1:'0509'!G$48,6,FALSE),IFERROR(VLOOKUP($C28,'0509'!$C$1:'0509'!G$48,4,FALSE),F28-D28))</f>
        <v>0</v>
      </c>
      <c r="K28" s="8">
        <f ca="1">G28-IFERROR(VLOOKUP($A28,'0509'!$A$1:'0509'!H$44,7,FALSE),IFERROR(VLOOKUP($C28,'0509'!$C$1:'0509'!H$44,5,FALSE),G28-E28))</f>
        <v>0</v>
      </c>
      <c r="L28" s="4">
        <f ca="1" t="shared" si="2"/>
        <v>0</v>
      </c>
      <c r="M28" s="13" t="s">
        <v>86</v>
      </c>
      <c r="N28" s="2" t="s">
        <v>87</v>
      </c>
    </row>
    <row r="29" s="2" customFormat="1" spans="1:13">
      <c r="A29" s="2" t="s">
        <v>56</v>
      </c>
      <c r="B29" s="2" t="s">
        <v>10</v>
      </c>
      <c r="C29" s="9">
        <v>45734</v>
      </c>
      <c r="D29" s="2">
        <v>20</v>
      </c>
      <c r="E29" s="2">
        <v>10</v>
      </c>
      <c r="F29" s="2">
        <v>514</v>
      </c>
      <c r="G29" s="2">
        <v>680</v>
      </c>
      <c r="H29" s="4">
        <f t="shared" si="0"/>
        <v>0.5</v>
      </c>
      <c r="I29" s="4">
        <f t="shared" si="1"/>
        <v>1.32295719844358</v>
      </c>
      <c r="J29" s="7">
        <f ca="1">F29-IFERROR(VLOOKUP($A29,'0509'!$A$1:'0509'!G$48,6,FALSE),IFERROR(VLOOKUP($C29,'0509'!$C$1:'0509'!G$48,4,FALSE),F29-D29))</f>
        <v>4</v>
      </c>
      <c r="K29" s="8">
        <f ca="1">G29-IFERROR(VLOOKUP($A29,'0509'!$A$1:'0509'!H$44,7,FALSE),IFERROR(VLOOKUP($C29,'0509'!$C$1:'0509'!H$44,5,FALSE),G29-E29))</f>
        <v>5</v>
      </c>
      <c r="L29" s="4">
        <f ca="1" t="shared" si="2"/>
        <v>1.25</v>
      </c>
      <c r="M29" s="2" t="s">
        <v>79</v>
      </c>
    </row>
    <row r="30" s="2" customFormat="1" spans="1:14">
      <c r="A30" s="2" t="s">
        <v>98</v>
      </c>
      <c r="B30" s="2" t="s">
        <v>10</v>
      </c>
      <c r="C30" s="9">
        <v>45731</v>
      </c>
      <c r="D30" s="2">
        <v>5</v>
      </c>
      <c r="E30" s="2">
        <v>20</v>
      </c>
      <c r="F30" s="2">
        <v>213</v>
      </c>
      <c r="G30" s="2">
        <v>357</v>
      </c>
      <c r="H30" s="4">
        <f t="shared" si="0"/>
        <v>4</v>
      </c>
      <c r="I30" s="4">
        <f t="shared" si="1"/>
        <v>1.67605633802817</v>
      </c>
      <c r="J30" s="7">
        <f ca="1">F30-IFERROR(VLOOKUP($A30,'0509'!$A$1:'0509'!G$48,6,FALSE),IFERROR(VLOOKUP($C30,'0509'!$C$1:'0509'!G$48,4,FALSE),F30-D30))</f>
        <v>5</v>
      </c>
      <c r="K30" s="8">
        <f ca="1">G30-IFERROR(VLOOKUP($A30,'0509'!$A$1:'0509'!H$44,7,FALSE),IFERROR(VLOOKUP($C30,'0509'!$C$1:'0509'!H$44,5,FALSE),G30-E30))</f>
        <v>20</v>
      </c>
      <c r="L30" s="4">
        <f ca="1" t="shared" si="2"/>
        <v>4</v>
      </c>
      <c r="M30" s="2" t="s">
        <v>99</v>
      </c>
      <c r="N30" s="2" t="s">
        <v>100</v>
      </c>
    </row>
    <row r="31" s="2" customFormat="1" spans="1:13">
      <c r="A31" s="2" t="s">
        <v>75</v>
      </c>
      <c r="B31" s="2" t="s">
        <v>10</v>
      </c>
      <c r="C31" s="9">
        <v>45720</v>
      </c>
      <c r="D31" s="2">
        <v>18</v>
      </c>
      <c r="E31" s="2">
        <v>9</v>
      </c>
      <c r="F31" s="2">
        <v>378</v>
      </c>
      <c r="G31" s="2">
        <v>281</v>
      </c>
      <c r="H31" s="4">
        <f t="shared" si="0"/>
        <v>0.5</v>
      </c>
      <c r="I31" s="4">
        <f t="shared" si="1"/>
        <v>0.743386243386243</v>
      </c>
      <c r="J31" s="7">
        <f ca="1">F31-IFERROR(VLOOKUP($A31,'0509'!$A$1:'0509'!G$48,6,FALSE),IFERROR(VLOOKUP($C31,'0509'!$C$1:'0509'!G$48,4,FALSE),F31-D31))</f>
        <v>0</v>
      </c>
      <c r="K31" s="8">
        <f ca="1">G31-IFERROR(VLOOKUP($A31,'0509'!$A$1:'0509'!H$44,7,FALSE),IFERROR(VLOOKUP($C31,'0509'!$C$1:'0509'!H$44,5,FALSE),G31-E31))</f>
        <v>0</v>
      </c>
      <c r="L31" s="4">
        <f ca="1" t="shared" si="2"/>
        <v>0</v>
      </c>
      <c r="M31" s="13" t="s">
        <v>76</v>
      </c>
    </row>
    <row r="32" s="2" customFormat="1" spans="1:13">
      <c r="A32" s="2" t="s">
        <v>91</v>
      </c>
      <c r="B32" s="2" t="s">
        <v>10</v>
      </c>
      <c r="C32" s="9">
        <v>45474</v>
      </c>
      <c r="D32" s="2">
        <v>6</v>
      </c>
      <c r="E32" s="2">
        <v>1</v>
      </c>
      <c r="F32" s="2">
        <v>479</v>
      </c>
      <c r="G32" s="2">
        <v>37</v>
      </c>
      <c r="H32" s="4">
        <f t="shared" si="0"/>
        <v>0.166666666666667</v>
      </c>
      <c r="I32" s="4">
        <f t="shared" si="1"/>
        <v>0.0772442588726513</v>
      </c>
      <c r="J32" s="7">
        <f ca="1">F32-IFERROR(VLOOKUP($A32,'0509'!$A$1:'0509'!G$48,6,FALSE),IFERROR(VLOOKUP($C32,'0509'!$C$1:'0509'!G$48,4,FALSE),F32-D32))</f>
        <v>3</v>
      </c>
      <c r="K32" s="8">
        <f ca="1">G32-IFERROR(VLOOKUP($A32,'0509'!$A$1:'0509'!H$44,7,FALSE),IFERROR(VLOOKUP($C32,'0509'!$C$1:'0509'!H$44,5,FALSE),G32-E32))</f>
        <v>0</v>
      </c>
      <c r="L32" s="4">
        <f ca="1" t="shared" si="2"/>
        <v>0</v>
      </c>
      <c r="M32" s="2" t="s">
        <v>92</v>
      </c>
    </row>
    <row r="33" spans="11:11">
      <c r="K33" s="2">
        <f ca="1">SUM(K2:K32)</f>
        <v>448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5"/>
  <sheetViews>
    <sheetView topLeftCell="A13" workbookViewId="0">
      <selection activeCell="N30" sqref="N30"/>
    </sheetView>
  </sheetViews>
  <sheetFormatPr defaultColWidth="10" defaultRowHeight="14.4"/>
  <cols>
    <col min="1" max="1" width="55.5555555555556" style="2" customWidth="1"/>
    <col min="2" max="2" width="10" style="2" hidden="1" customWidth="1"/>
    <col min="3" max="3" width="9.77777777777778" style="2" customWidth="1"/>
    <col min="4" max="7" width="6.33333333333333" style="2" customWidth="1"/>
    <col min="8" max="9" width="6.77777777777778" style="2" customWidth="1"/>
    <col min="10" max="10" width="7.66666666666667" style="2" customWidth="1"/>
    <col min="11" max="12" width="6.77777777777778" style="2" customWidth="1"/>
    <col min="13" max="13" width="18.6666666666667" style="2" customWidth="1"/>
    <col min="14" max="14" width="19.6666666666667" style="2" customWidth="1"/>
    <col min="15" max="16384" width="10" style="2"/>
  </cols>
  <sheetData>
    <row r="1" s="2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J1" s="5" t="s">
        <v>7</v>
      </c>
      <c r="K1" s="5" t="s">
        <v>8</v>
      </c>
    </row>
    <row r="2" s="2" customFormat="1" spans="1:12">
      <c r="A2" s="2" t="s">
        <v>101</v>
      </c>
      <c r="B2" s="2" t="s">
        <v>10</v>
      </c>
      <c r="C2" s="9">
        <v>45787</v>
      </c>
      <c r="D2" s="2">
        <v>97</v>
      </c>
      <c r="E2" s="2">
        <v>515</v>
      </c>
      <c r="F2" s="2">
        <v>97</v>
      </c>
      <c r="G2" s="2">
        <v>515</v>
      </c>
      <c r="H2" s="4">
        <f>E2/D2</f>
        <v>5.30927835051546</v>
      </c>
      <c r="I2" s="4">
        <f>G2/F2</f>
        <v>5.30927835051546</v>
      </c>
      <c r="J2" s="7">
        <f ca="1">F2-IFERROR(VLOOKUP($A2,'0510'!$A$1:'0510'!G$48,6,FALSE),IFERROR(VLOOKUP($C2,'0510'!$C$1:'0510'!G$48,4,FALSE),F2-D2))</f>
        <v>97</v>
      </c>
      <c r="K2" s="8">
        <f ca="1">G2-IFERROR(VLOOKUP($A2,'0510'!$A$1:'0510'!H$44,7,FALSE),IFERROR(VLOOKUP($C2,'0510'!$C$1:'0510'!H$44,5,FALSE),G2-E2))</f>
        <v>515</v>
      </c>
      <c r="L2" s="4">
        <f ca="1">IFERROR(K2/J2,)</f>
        <v>5.30927835051546</v>
      </c>
    </row>
    <row r="3" s="2" customFormat="1" spans="1:13">
      <c r="A3" s="2" t="s">
        <v>93</v>
      </c>
      <c r="B3" s="2" t="s">
        <v>10</v>
      </c>
      <c r="C3" s="9">
        <v>45786</v>
      </c>
      <c r="D3" s="2">
        <v>144</v>
      </c>
      <c r="E3" s="2">
        <v>275</v>
      </c>
      <c r="F3" s="2">
        <v>144</v>
      </c>
      <c r="G3" s="2">
        <v>275</v>
      </c>
      <c r="H3" s="4">
        <f t="shared" ref="H3:H34" si="0">E3/D3</f>
        <v>1.90972222222222</v>
      </c>
      <c r="I3" s="4">
        <f t="shared" ref="I3:I34" si="1">G3/F3</f>
        <v>1.90972222222222</v>
      </c>
      <c r="J3" s="7">
        <f ca="1">F3-IFERROR(VLOOKUP($A3,'0510'!$A$1:'0510'!G$48,6,FALSE),IFERROR(VLOOKUP($C3,'0510'!$C$1:'0510'!G$48,4,FALSE),F3-D3))</f>
        <v>41</v>
      </c>
      <c r="K3" s="8">
        <f ca="1">G3-IFERROR(VLOOKUP($A3,'0510'!$A$1:'0510'!H$44,7,FALSE),IFERROR(VLOOKUP($C3,'0510'!$C$1:'0510'!H$44,5,FALSE),G3-E3))</f>
        <v>110</v>
      </c>
      <c r="L3" s="4">
        <f ca="1" t="shared" ref="L3:L34" si="2">IFERROR(K3/J3,)</f>
        <v>2.68292682926829</v>
      </c>
      <c r="M3" s="2" t="s">
        <v>94</v>
      </c>
    </row>
    <row r="4" s="2" customFormat="1" spans="1:12">
      <c r="A4" s="2" t="s">
        <v>95</v>
      </c>
      <c r="B4" s="2" t="s">
        <v>10</v>
      </c>
      <c r="C4" s="9">
        <v>45786</v>
      </c>
      <c r="D4" s="2">
        <v>265</v>
      </c>
      <c r="E4" s="2">
        <v>294</v>
      </c>
      <c r="F4" s="2">
        <v>265</v>
      </c>
      <c r="G4" s="2">
        <v>294</v>
      </c>
      <c r="H4" s="4">
        <f t="shared" si="0"/>
        <v>1.10943396226415</v>
      </c>
      <c r="I4" s="4">
        <f t="shared" si="1"/>
        <v>1.10943396226415</v>
      </c>
      <c r="J4" s="7">
        <f ca="1">F4-IFERROR(VLOOKUP($A4,'0510'!$A$1:'0510'!G$48,6,FALSE),IFERROR(VLOOKUP($C4,'0510'!$C$1:'0510'!G$48,4,FALSE),F4-D4))</f>
        <v>47</v>
      </c>
      <c r="K4" s="8">
        <f ca="1">G4-IFERROR(VLOOKUP($A4,'0510'!$A$1:'0510'!H$44,7,FALSE),IFERROR(VLOOKUP($C4,'0510'!$C$1:'0510'!H$44,5,FALSE),G4-E4))</f>
        <v>116</v>
      </c>
      <c r="L4" s="4">
        <f ca="1" t="shared" si="2"/>
        <v>2.46808510638298</v>
      </c>
    </row>
    <row r="5" s="2" customFormat="1" spans="1:12">
      <c r="A5" s="2" t="s">
        <v>88</v>
      </c>
      <c r="B5" s="2" t="s">
        <v>10</v>
      </c>
      <c r="C5" s="9">
        <v>45785</v>
      </c>
      <c r="D5" s="2">
        <v>286</v>
      </c>
      <c r="E5" s="2">
        <v>195</v>
      </c>
      <c r="F5" s="2">
        <v>286</v>
      </c>
      <c r="G5" s="2">
        <v>195</v>
      </c>
      <c r="H5" s="4">
        <f t="shared" si="0"/>
        <v>0.681818181818182</v>
      </c>
      <c r="I5" s="4">
        <f t="shared" si="1"/>
        <v>0.681818181818182</v>
      </c>
      <c r="J5" s="7">
        <f ca="1">F5-IFERROR(VLOOKUP($A5,'0510'!$A$1:'0510'!G$48,6,FALSE),IFERROR(VLOOKUP($C5,'0510'!$C$1:'0510'!G$48,4,FALSE),F5-D5))</f>
        <v>28</v>
      </c>
      <c r="K5" s="8">
        <f ca="1">G5-IFERROR(VLOOKUP($A5,'0510'!$A$1:'0510'!H$44,7,FALSE),IFERROR(VLOOKUP($C5,'0510'!$C$1:'0510'!H$44,5,FALSE),G5-E5))</f>
        <v>8</v>
      </c>
      <c r="L5" s="4">
        <f ca="1" t="shared" si="2"/>
        <v>0.285714285714286</v>
      </c>
    </row>
    <row r="6" s="2" customFormat="1" spans="1:12">
      <c r="A6" s="2" t="s">
        <v>83</v>
      </c>
      <c r="B6" s="2" t="s">
        <v>10</v>
      </c>
      <c r="C6" s="9">
        <v>45784</v>
      </c>
      <c r="D6" s="2">
        <v>513</v>
      </c>
      <c r="E6" s="2">
        <v>622</v>
      </c>
      <c r="F6" s="2">
        <v>513</v>
      </c>
      <c r="G6" s="2">
        <v>622</v>
      </c>
      <c r="H6" s="4">
        <f t="shared" si="0"/>
        <v>1.21247563352827</v>
      </c>
      <c r="I6" s="4">
        <f t="shared" si="1"/>
        <v>1.21247563352827</v>
      </c>
      <c r="J6" s="7">
        <f ca="1">F6-IFERROR(VLOOKUP($A6,'0510'!$A$1:'0510'!G$48,6,FALSE),IFERROR(VLOOKUP($C6,'0510'!$C$1:'0510'!G$48,4,FALSE),F6-D6))</f>
        <v>13</v>
      </c>
      <c r="K6" s="8">
        <f ca="1">G6-IFERROR(VLOOKUP($A6,'0510'!$A$1:'0510'!H$44,7,FALSE),IFERROR(VLOOKUP($C6,'0510'!$C$1:'0510'!H$44,5,FALSE),G6-E6))</f>
        <v>0</v>
      </c>
      <c r="L6" s="4">
        <f ca="1" t="shared" si="2"/>
        <v>0</v>
      </c>
    </row>
    <row r="7" s="2" customFormat="1" spans="1:12">
      <c r="A7" s="2" t="s">
        <v>80</v>
      </c>
      <c r="B7" s="2" t="s">
        <v>10</v>
      </c>
      <c r="C7" s="9">
        <v>45783</v>
      </c>
      <c r="D7" s="2">
        <v>192</v>
      </c>
      <c r="E7" s="2">
        <v>216</v>
      </c>
      <c r="F7" s="2">
        <v>192</v>
      </c>
      <c r="G7" s="2">
        <v>216</v>
      </c>
      <c r="H7" s="4">
        <f t="shared" si="0"/>
        <v>1.125</v>
      </c>
      <c r="I7" s="4">
        <f t="shared" si="1"/>
        <v>1.125</v>
      </c>
      <c r="J7" s="7">
        <f ca="1">F7-IFERROR(VLOOKUP($A7,'0510'!$A$1:'0510'!G$48,6,FALSE),IFERROR(VLOOKUP($C7,'0510'!$C$1:'0510'!G$48,4,FALSE),F7-D7))</f>
        <v>7</v>
      </c>
      <c r="K7" s="8">
        <f ca="1">G7-IFERROR(VLOOKUP($A7,'0510'!$A$1:'0510'!H$44,7,FALSE),IFERROR(VLOOKUP($C7,'0510'!$C$1:'0510'!H$44,5,FALSE),G7-E7))</f>
        <v>4</v>
      </c>
      <c r="L7" s="4">
        <f ca="1" t="shared" si="2"/>
        <v>0.571428571428571</v>
      </c>
    </row>
    <row r="8" s="2" customFormat="1" spans="1:12">
      <c r="A8" s="2" t="s">
        <v>81</v>
      </c>
      <c r="B8" s="2" t="s">
        <v>10</v>
      </c>
      <c r="C8" s="9">
        <v>45783</v>
      </c>
      <c r="D8" s="2">
        <v>138</v>
      </c>
      <c r="E8" s="2">
        <v>209</v>
      </c>
      <c r="F8" s="2">
        <v>138</v>
      </c>
      <c r="G8" s="2">
        <v>209</v>
      </c>
      <c r="H8" s="4">
        <f t="shared" si="0"/>
        <v>1.51449275362319</v>
      </c>
      <c r="I8" s="4">
        <f t="shared" si="1"/>
        <v>1.51449275362319</v>
      </c>
      <c r="J8" s="7">
        <f ca="1">F8-IFERROR(VLOOKUP($A8,'0510'!$A$1:'0510'!G$48,6,FALSE),IFERROR(VLOOKUP($C8,'0510'!$C$1:'0510'!G$48,4,FALSE),F8-D8))</f>
        <v>3</v>
      </c>
      <c r="K8" s="8">
        <f ca="1">G8-IFERROR(VLOOKUP($A8,'0510'!$A$1:'0510'!H$44,7,FALSE),IFERROR(VLOOKUP($C8,'0510'!$C$1:'0510'!H$44,5,FALSE),G8-E8))</f>
        <v>6</v>
      </c>
      <c r="L8" s="4">
        <f ca="1" t="shared" si="2"/>
        <v>2</v>
      </c>
    </row>
    <row r="9" s="2" customFormat="1" spans="1:12">
      <c r="A9" s="2" t="s">
        <v>77</v>
      </c>
      <c r="B9" s="2" t="s">
        <v>10</v>
      </c>
      <c r="C9" s="9">
        <v>45782</v>
      </c>
      <c r="D9" s="2">
        <v>318</v>
      </c>
      <c r="E9" s="2">
        <v>208</v>
      </c>
      <c r="F9" s="2">
        <v>318</v>
      </c>
      <c r="G9" s="2">
        <v>208</v>
      </c>
      <c r="H9" s="4">
        <f t="shared" si="0"/>
        <v>0.654088050314465</v>
      </c>
      <c r="I9" s="4">
        <f t="shared" si="1"/>
        <v>0.654088050314465</v>
      </c>
      <c r="J9" s="7">
        <f ca="1">F9-IFERROR(VLOOKUP($A9,'0510'!$A$1:'0510'!G$48,6,FALSE),IFERROR(VLOOKUP($C9,'0510'!$C$1:'0510'!G$48,4,FALSE),F9-D9))</f>
        <v>11</v>
      </c>
      <c r="K9" s="8">
        <f ca="1">G9-IFERROR(VLOOKUP($A9,'0510'!$A$1:'0510'!H$44,7,FALSE),IFERROR(VLOOKUP($C9,'0510'!$C$1:'0510'!H$44,5,FALSE),G9-E9))</f>
        <v>0</v>
      </c>
      <c r="L9" s="4">
        <f ca="1" t="shared" si="2"/>
        <v>0</v>
      </c>
    </row>
    <row r="10" s="2" customFormat="1" spans="1:12">
      <c r="A10" s="2" t="s">
        <v>72</v>
      </c>
      <c r="B10" s="2" t="s">
        <v>10</v>
      </c>
      <c r="C10" s="9">
        <v>45781</v>
      </c>
      <c r="D10" s="2">
        <v>270</v>
      </c>
      <c r="E10" s="2">
        <v>647</v>
      </c>
      <c r="F10" s="2">
        <v>270</v>
      </c>
      <c r="G10" s="2">
        <v>647</v>
      </c>
      <c r="H10" s="4">
        <f t="shared" si="0"/>
        <v>2.3962962962963</v>
      </c>
      <c r="I10" s="4">
        <f t="shared" si="1"/>
        <v>2.3962962962963</v>
      </c>
      <c r="J10" s="7">
        <f ca="1">F10-IFERROR(VLOOKUP($A10,'0510'!$A$1:'0510'!G$48,6,FALSE),IFERROR(VLOOKUP($C10,'0510'!$C$1:'0510'!G$48,4,FALSE),F10-D10))</f>
        <v>6</v>
      </c>
      <c r="K10" s="8">
        <f ca="1">G10-IFERROR(VLOOKUP($A10,'0510'!$A$1:'0510'!H$44,7,FALSE),IFERROR(VLOOKUP($C10,'0510'!$C$1:'0510'!H$44,5,FALSE),G10-E10))</f>
        <v>32</v>
      </c>
      <c r="L10" s="4">
        <f ca="1" t="shared" si="2"/>
        <v>5.33333333333333</v>
      </c>
    </row>
    <row r="11" s="2" customFormat="1" spans="1:12">
      <c r="A11" s="2" t="s">
        <v>69</v>
      </c>
      <c r="B11" s="2" t="s">
        <v>10</v>
      </c>
      <c r="C11" s="9">
        <v>45780</v>
      </c>
      <c r="D11" s="2">
        <v>710</v>
      </c>
      <c r="E11" s="2">
        <v>288</v>
      </c>
      <c r="F11" s="2">
        <v>1218</v>
      </c>
      <c r="G11" s="2">
        <v>537</v>
      </c>
      <c r="H11" s="4">
        <f t="shared" si="0"/>
        <v>0.405633802816901</v>
      </c>
      <c r="I11" s="4">
        <f t="shared" si="1"/>
        <v>0.440886699507389</v>
      </c>
      <c r="J11" s="7">
        <f ca="1">F11-IFERROR(VLOOKUP($A11,'0510'!$A$1:'0510'!G$48,6,FALSE),IFERROR(VLOOKUP($C11,'0510'!$C$1:'0510'!G$48,4,FALSE),F11-D11))</f>
        <v>0</v>
      </c>
      <c r="K11" s="8">
        <f ca="1">G11-IFERROR(VLOOKUP($A11,'0510'!$A$1:'0510'!H$44,7,FALSE),IFERROR(VLOOKUP($C11,'0510'!$C$1:'0510'!H$44,5,FALSE),G11-E11))</f>
        <v>0</v>
      </c>
      <c r="L11" s="4">
        <f ca="1" t="shared" si="2"/>
        <v>0</v>
      </c>
    </row>
    <row r="12" s="2" customFormat="1" spans="1:12">
      <c r="A12" s="2" t="s">
        <v>68</v>
      </c>
      <c r="B12" s="2" t="s">
        <v>10</v>
      </c>
      <c r="C12" s="9">
        <v>45779</v>
      </c>
      <c r="D12" s="2">
        <v>77</v>
      </c>
      <c r="E12" s="2">
        <v>33</v>
      </c>
      <c r="F12" s="2">
        <v>194</v>
      </c>
      <c r="G12" s="2">
        <v>147</v>
      </c>
      <c r="H12" s="4">
        <f t="shared" si="0"/>
        <v>0.428571428571429</v>
      </c>
      <c r="I12" s="4">
        <f t="shared" si="1"/>
        <v>0.757731958762887</v>
      </c>
      <c r="J12" s="7">
        <f ca="1">F12-IFERROR(VLOOKUP($A12,'0510'!$A$1:'0510'!G$48,6,FALSE),IFERROR(VLOOKUP($C12,'0510'!$C$1:'0510'!G$48,4,FALSE),F12-D12))</f>
        <v>2</v>
      </c>
      <c r="K12" s="8">
        <f ca="1">G12-IFERROR(VLOOKUP($A12,'0510'!$A$1:'0510'!H$44,7,FALSE),IFERROR(VLOOKUP($C12,'0510'!$C$1:'0510'!H$44,5,FALSE),G12-E12))</f>
        <v>0</v>
      </c>
      <c r="L12" s="4">
        <f ca="1" t="shared" si="2"/>
        <v>0</v>
      </c>
    </row>
    <row r="13" s="2" customFormat="1" spans="1:12">
      <c r="A13" s="2" t="s">
        <v>66</v>
      </c>
      <c r="B13" s="2" t="s">
        <v>10</v>
      </c>
      <c r="C13" s="9">
        <v>45778</v>
      </c>
      <c r="D13" s="2">
        <v>49</v>
      </c>
      <c r="E13" s="2">
        <v>28</v>
      </c>
      <c r="F13" s="2">
        <v>385</v>
      </c>
      <c r="G13" s="2">
        <v>168</v>
      </c>
      <c r="H13" s="4">
        <f t="shared" si="0"/>
        <v>0.571428571428571</v>
      </c>
      <c r="I13" s="4">
        <f t="shared" si="1"/>
        <v>0.436363636363636</v>
      </c>
      <c r="J13" s="7">
        <f ca="1">F13-IFERROR(VLOOKUP($A13,'0510'!$A$1:'0510'!G$48,6,FALSE),IFERROR(VLOOKUP($C13,'0510'!$C$1:'0510'!G$48,4,FALSE),F13-D13))</f>
        <v>2</v>
      </c>
      <c r="K13" s="8">
        <f ca="1">G13-IFERROR(VLOOKUP($A13,'0510'!$A$1:'0510'!H$44,7,FALSE),IFERROR(VLOOKUP($C13,'0510'!$C$1:'0510'!H$44,5,FALSE),G13-E13))</f>
        <v>0</v>
      </c>
      <c r="L13" s="4">
        <f ca="1" t="shared" si="2"/>
        <v>0</v>
      </c>
    </row>
    <row r="14" s="2" customFormat="1" spans="1:13">
      <c r="A14" s="2" t="s">
        <v>9</v>
      </c>
      <c r="B14" s="2" t="s">
        <v>10</v>
      </c>
      <c r="C14" s="9">
        <v>45777</v>
      </c>
      <c r="D14" s="2">
        <v>50</v>
      </c>
      <c r="E14" s="2">
        <v>21</v>
      </c>
      <c r="F14" s="2">
        <v>239</v>
      </c>
      <c r="G14" s="2">
        <v>304</v>
      </c>
      <c r="H14" s="4">
        <f t="shared" si="0"/>
        <v>0.42</v>
      </c>
      <c r="I14" s="4">
        <f t="shared" si="1"/>
        <v>1.27196652719665</v>
      </c>
      <c r="J14" s="7">
        <f ca="1">F14-IFERROR(VLOOKUP($A14,'0510'!$A$1:'0510'!G$48,6,FALSE),IFERROR(VLOOKUP($C14,'0510'!$C$1:'0510'!G$48,4,FALSE),F14-D14))</f>
        <v>0</v>
      </c>
      <c r="K14" s="8">
        <f ca="1">G14-IFERROR(VLOOKUP($A14,'0510'!$A$1:'0510'!H$44,7,FALSE),IFERROR(VLOOKUP($C14,'0510'!$C$1:'0510'!H$44,5,FALSE),G14-E14))</f>
        <v>0</v>
      </c>
      <c r="L14" s="4">
        <f ca="1" t="shared" si="2"/>
        <v>0</v>
      </c>
      <c r="M14" s="2" t="s">
        <v>84</v>
      </c>
    </row>
    <row r="15" s="2" customFormat="1" spans="1:13">
      <c r="A15" s="2" t="s">
        <v>11</v>
      </c>
      <c r="B15" s="2" t="s">
        <v>10</v>
      </c>
      <c r="C15" s="9">
        <v>45777</v>
      </c>
      <c r="D15" s="2">
        <v>94</v>
      </c>
      <c r="E15" s="2">
        <v>488</v>
      </c>
      <c r="F15" s="2">
        <v>186</v>
      </c>
      <c r="G15" s="2">
        <v>748</v>
      </c>
      <c r="H15" s="4">
        <f t="shared" si="0"/>
        <v>5.19148936170213</v>
      </c>
      <c r="I15" s="4">
        <f t="shared" si="1"/>
        <v>4.02150537634409</v>
      </c>
      <c r="J15" s="7">
        <f ca="1">F15-IFERROR(VLOOKUP($A15,'0510'!$A$1:'0510'!G$48,6,FALSE),IFERROR(VLOOKUP($C15,'0510'!$C$1:'0510'!G$48,4,FALSE),F15-D15))</f>
        <v>16</v>
      </c>
      <c r="K15" s="8">
        <f ca="1">G15-IFERROR(VLOOKUP($A15,'0510'!$A$1:'0510'!H$44,7,FALSE),IFERROR(VLOOKUP($C15,'0510'!$C$1:'0510'!H$44,5,FALSE),G15-E15))</f>
        <v>64</v>
      </c>
      <c r="L15" s="4">
        <f ca="1" t="shared" si="2"/>
        <v>4</v>
      </c>
      <c r="M15" s="2" t="s">
        <v>67</v>
      </c>
    </row>
    <row r="16" s="2" customFormat="1" spans="1:12">
      <c r="A16" s="2" t="s">
        <v>12</v>
      </c>
      <c r="B16" s="2" t="s">
        <v>10</v>
      </c>
      <c r="C16" s="9">
        <v>45776</v>
      </c>
      <c r="D16" s="2">
        <v>112</v>
      </c>
      <c r="E16" s="2">
        <v>4</v>
      </c>
      <c r="F16" s="2">
        <v>675</v>
      </c>
      <c r="G16" s="2">
        <v>397</v>
      </c>
      <c r="H16" s="4">
        <f t="shared" si="0"/>
        <v>0.0357142857142857</v>
      </c>
      <c r="I16" s="4">
        <f t="shared" si="1"/>
        <v>0.588148148148148</v>
      </c>
      <c r="J16" s="7">
        <f ca="1">F16-IFERROR(VLOOKUP($A16,'0510'!$A$1:'0510'!G$48,6,FALSE),IFERROR(VLOOKUP($C16,'0510'!$C$1:'0510'!G$48,4,FALSE),F16-D16))</f>
        <v>3</v>
      </c>
      <c r="K16" s="8">
        <f ca="1">G16-IFERROR(VLOOKUP($A16,'0510'!$A$1:'0510'!H$44,7,FALSE),IFERROR(VLOOKUP($C16,'0510'!$C$1:'0510'!H$44,5,FALSE),G16-E16))</f>
        <v>0</v>
      </c>
      <c r="L16" s="4">
        <f ca="1" t="shared" si="2"/>
        <v>0</v>
      </c>
    </row>
    <row r="17" s="2" customFormat="1" spans="1:12">
      <c r="A17" s="2" t="s">
        <v>16</v>
      </c>
      <c r="B17" s="2" t="s">
        <v>10</v>
      </c>
      <c r="C17" s="9">
        <v>45774</v>
      </c>
      <c r="D17" s="2">
        <v>28</v>
      </c>
      <c r="E17" s="2">
        <v>4</v>
      </c>
      <c r="F17" s="2">
        <v>418</v>
      </c>
      <c r="G17" s="2">
        <v>371</v>
      </c>
      <c r="H17" s="4">
        <f t="shared" si="0"/>
        <v>0.142857142857143</v>
      </c>
      <c r="I17" s="4">
        <f t="shared" si="1"/>
        <v>0.88755980861244</v>
      </c>
      <c r="J17" s="7">
        <f ca="1">F17-IFERROR(VLOOKUP($A17,'0510'!$A$1:'0510'!G$48,6,FALSE),IFERROR(VLOOKUP($C17,'0510'!$C$1:'0510'!G$48,4,FALSE),F17-D17))</f>
        <v>2</v>
      </c>
      <c r="K17" s="8">
        <f ca="1">G17-IFERROR(VLOOKUP($A17,'0510'!$A$1:'0510'!H$44,7,FALSE),IFERROR(VLOOKUP($C17,'0510'!$C$1:'0510'!H$44,5,FALSE),G17-E17))</f>
        <v>0</v>
      </c>
      <c r="L17" s="4">
        <f ca="1" t="shared" si="2"/>
        <v>0</v>
      </c>
    </row>
    <row r="18" s="2" customFormat="1" spans="1:12">
      <c r="A18" s="2" t="s">
        <v>22</v>
      </c>
      <c r="B18" s="2" t="s">
        <v>10</v>
      </c>
      <c r="C18" s="9">
        <v>45771</v>
      </c>
      <c r="D18" s="2">
        <v>38</v>
      </c>
      <c r="E18" s="2">
        <v>4</v>
      </c>
      <c r="F18" s="2">
        <v>210</v>
      </c>
      <c r="G18" s="2">
        <v>125</v>
      </c>
      <c r="H18" s="4">
        <f t="shared" si="0"/>
        <v>0.105263157894737</v>
      </c>
      <c r="I18" s="4">
        <f t="shared" si="1"/>
        <v>0.595238095238095</v>
      </c>
      <c r="J18" s="7">
        <f ca="1">F18-IFERROR(VLOOKUP($A18,'0510'!$A$1:'0510'!G$48,6,FALSE),IFERROR(VLOOKUP($C18,'0510'!$C$1:'0510'!G$48,4,FALSE),F18-D18))</f>
        <v>0</v>
      </c>
      <c r="K18" s="8">
        <f ca="1">G18-IFERROR(VLOOKUP($A18,'0510'!$A$1:'0510'!H$44,7,FALSE),IFERROR(VLOOKUP($C18,'0510'!$C$1:'0510'!H$44,5,FALSE),G18-E18))</f>
        <v>0</v>
      </c>
      <c r="L18" s="4">
        <f ca="1" t="shared" si="2"/>
        <v>0</v>
      </c>
    </row>
    <row r="19" s="2" customFormat="1" spans="1:12">
      <c r="A19" s="2" t="s">
        <v>27</v>
      </c>
      <c r="B19" s="2" t="s">
        <v>10</v>
      </c>
      <c r="C19" s="9">
        <v>45769</v>
      </c>
      <c r="D19" s="2">
        <v>39</v>
      </c>
      <c r="E19" s="2">
        <v>14</v>
      </c>
      <c r="F19" s="2">
        <v>598</v>
      </c>
      <c r="G19" s="2">
        <v>348</v>
      </c>
      <c r="H19" s="4">
        <f t="shared" si="0"/>
        <v>0.358974358974359</v>
      </c>
      <c r="I19" s="4">
        <f t="shared" si="1"/>
        <v>0.581939799331104</v>
      </c>
      <c r="J19" s="7">
        <f ca="1">F19-IFERROR(VLOOKUP($A19,'0510'!$A$1:'0510'!G$48,6,FALSE),IFERROR(VLOOKUP($C19,'0510'!$C$1:'0510'!G$48,4,FALSE),F19-D19))</f>
        <v>39</v>
      </c>
      <c r="K19" s="8">
        <f ca="1">G19-IFERROR(VLOOKUP($A19,'0510'!$A$1:'0510'!H$44,7,FALSE),IFERROR(VLOOKUP($C19,'0510'!$C$1:'0510'!H$44,5,FALSE),G19-E19))</f>
        <v>14</v>
      </c>
      <c r="L19" s="4">
        <f ca="1" t="shared" si="2"/>
        <v>0.358974358974359</v>
      </c>
    </row>
    <row r="20" s="2" customFormat="1" spans="1:12">
      <c r="A20" s="2" t="s">
        <v>38</v>
      </c>
      <c r="B20" s="2" t="s">
        <v>10</v>
      </c>
      <c r="C20" s="9">
        <v>45764</v>
      </c>
      <c r="D20" s="2">
        <v>64</v>
      </c>
      <c r="E20" s="2">
        <v>7</v>
      </c>
      <c r="F20" s="2">
        <v>428</v>
      </c>
      <c r="G20" s="2">
        <v>282</v>
      </c>
      <c r="H20" s="4">
        <f t="shared" si="0"/>
        <v>0.109375</v>
      </c>
      <c r="I20" s="4">
        <f t="shared" si="1"/>
        <v>0.658878504672897</v>
      </c>
      <c r="J20" s="7">
        <f ca="1">F20-IFERROR(VLOOKUP($A20,'0510'!$A$1:'0510'!G$48,6,FALSE),IFERROR(VLOOKUP($C20,'0510'!$C$1:'0510'!G$48,4,FALSE),F20-D20))</f>
        <v>14</v>
      </c>
      <c r="K20" s="8">
        <f ca="1">G20-IFERROR(VLOOKUP($A20,'0510'!$A$1:'0510'!H$44,7,FALSE),IFERROR(VLOOKUP($C20,'0510'!$C$1:'0510'!H$44,5,FALSE),G20-E20))</f>
        <v>0</v>
      </c>
      <c r="L20" s="4">
        <f ca="1" t="shared" si="2"/>
        <v>0</v>
      </c>
    </row>
    <row r="21" s="2" customFormat="1" spans="1:13">
      <c r="A21" s="2" t="s">
        <v>39</v>
      </c>
      <c r="B21" s="2" t="s">
        <v>10</v>
      </c>
      <c r="C21" s="9">
        <v>45763</v>
      </c>
      <c r="D21" s="2">
        <v>12</v>
      </c>
      <c r="E21" s="2">
        <v>16</v>
      </c>
      <c r="F21" s="2">
        <v>664</v>
      </c>
      <c r="G21" s="2">
        <v>386</v>
      </c>
      <c r="H21" s="4">
        <f t="shared" si="0"/>
        <v>1.33333333333333</v>
      </c>
      <c r="I21" s="4">
        <f t="shared" si="1"/>
        <v>0.581325301204819</v>
      </c>
      <c r="J21" s="7">
        <f ca="1">F21-IFERROR(VLOOKUP($A21,'0510'!$A$1:'0510'!G$48,6,FALSE),IFERROR(VLOOKUP($C21,'0510'!$C$1:'0510'!G$48,4,FALSE),F21-D21))</f>
        <v>3</v>
      </c>
      <c r="K21" s="8">
        <f ca="1">G21-IFERROR(VLOOKUP($A21,'0510'!$A$1:'0510'!H$44,7,FALSE),IFERROR(VLOOKUP($C21,'0510'!$C$1:'0510'!H$44,5,FALSE),G21-E21))</f>
        <v>8</v>
      </c>
      <c r="L21" s="4">
        <f ca="1" t="shared" si="2"/>
        <v>2.66666666666667</v>
      </c>
      <c r="M21" s="2" t="s">
        <v>90</v>
      </c>
    </row>
    <row r="22" s="2" customFormat="1" spans="1:13">
      <c r="A22" s="2" t="s">
        <v>42</v>
      </c>
      <c r="B22" s="2" t="s">
        <v>10</v>
      </c>
      <c r="C22" s="9">
        <v>45762</v>
      </c>
      <c r="D22" s="2">
        <v>25</v>
      </c>
      <c r="E22" s="2">
        <v>6</v>
      </c>
      <c r="F22" s="2">
        <v>625</v>
      </c>
      <c r="G22" s="2">
        <v>647</v>
      </c>
      <c r="H22" s="4">
        <f t="shared" si="0"/>
        <v>0.24</v>
      </c>
      <c r="I22" s="4">
        <f t="shared" si="1"/>
        <v>1.0352</v>
      </c>
      <c r="J22" s="7">
        <f ca="1">F22-IFERROR(VLOOKUP($A22,'0510'!$A$1:'0510'!G$48,6,FALSE),IFERROR(VLOOKUP($C22,'0510'!$C$1:'0510'!G$48,4,FALSE),F22-D22))</f>
        <v>5</v>
      </c>
      <c r="K22" s="8">
        <f ca="1">G22-IFERROR(VLOOKUP($A22,'0510'!$A$1:'0510'!H$44,7,FALSE),IFERROR(VLOOKUP($C22,'0510'!$C$1:'0510'!H$44,5,FALSE),G22-E22))</f>
        <v>0</v>
      </c>
      <c r="L22" s="4">
        <f ca="1" t="shared" si="2"/>
        <v>0</v>
      </c>
      <c r="M22" s="2" t="s">
        <v>43</v>
      </c>
    </row>
    <row r="23" s="2" customFormat="1" spans="1:13">
      <c r="A23" s="2" t="s">
        <v>44</v>
      </c>
      <c r="B23" s="2" t="s">
        <v>10</v>
      </c>
      <c r="C23" s="9">
        <v>45761</v>
      </c>
      <c r="D23" s="2">
        <v>16</v>
      </c>
      <c r="E23" s="2">
        <v>32</v>
      </c>
      <c r="F23" s="2">
        <v>1072</v>
      </c>
      <c r="G23" s="2">
        <v>951</v>
      </c>
      <c r="H23" s="4">
        <f t="shared" si="0"/>
        <v>2</v>
      </c>
      <c r="I23" s="4">
        <f t="shared" si="1"/>
        <v>0.887126865671642</v>
      </c>
      <c r="J23" s="7">
        <f ca="1">F23-IFERROR(VLOOKUP($A23,'0510'!$A$1:'0510'!G$48,6,FALSE),IFERROR(VLOOKUP($C23,'0510'!$C$1:'0510'!G$48,4,FALSE),F23-D23))</f>
        <v>3</v>
      </c>
      <c r="K23" s="8">
        <f ca="1">G23-IFERROR(VLOOKUP($A23,'0510'!$A$1:'0510'!H$44,7,FALSE),IFERROR(VLOOKUP($C23,'0510'!$C$1:'0510'!H$44,5,FALSE),G23-E23))</f>
        <v>0</v>
      </c>
      <c r="L23" s="4">
        <f ca="1" t="shared" si="2"/>
        <v>0</v>
      </c>
      <c r="M23" s="2" t="s">
        <v>45</v>
      </c>
    </row>
    <row r="24" s="2" customFormat="1" spans="1:12">
      <c r="A24" s="2" t="s">
        <v>46</v>
      </c>
      <c r="B24" s="2" t="s">
        <v>10</v>
      </c>
      <c r="C24" s="9">
        <v>45757</v>
      </c>
      <c r="D24" s="2">
        <v>21</v>
      </c>
      <c r="E24" s="2">
        <v>6</v>
      </c>
      <c r="F24" s="2">
        <v>647</v>
      </c>
      <c r="G24" s="2">
        <v>769</v>
      </c>
      <c r="H24" s="4">
        <f t="shared" si="0"/>
        <v>0.285714285714286</v>
      </c>
      <c r="I24" s="4">
        <f t="shared" si="1"/>
        <v>1.18856259659969</v>
      </c>
      <c r="J24" s="7">
        <f ca="1">F24-IFERROR(VLOOKUP($A24,'0510'!$A$1:'0510'!G$48,6,FALSE),IFERROR(VLOOKUP($C24,'0510'!$C$1:'0510'!G$48,4,FALSE),F24-D24))</f>
        <v>21</v>
      </c>
      <c r="K24" s="8">
        <f ca="1">G24-IFERROR(VLOOKUP($A24,'0510'!$A$1:'0510'!H$44,7,FALSE),IFERROR(VLOOKUP($C24,'0510'!$C$1:'0510'!H$44,5,FALSE),G24-E24))</f>
        <v>6</v>
      </c>
      <c r="L24" s="4">
        <f ca="1" t="shared" si="2"/>
        <v>0.285714285714286</v>
      </c>
    </row>
    <row r="25" s="2" customFormat="1" spans="1:13">
      <c r="A25" s="2" t="s">
        <v>73</v>
      </c>
      <c r="B25" s="2" t="s">
        <v>10</v>
      </c>
      <c r="C25" s="9">
        <v>45755</v>
      </c>
      <c r="D25" s="2">
        <v>19</v>
      </c>
      <c r="E25" s="2">
        <v>16</v>
      </c>
      <c r="F25" s="2">
        <v>458</v>
      </c>
      <c r="G25" s="2">
        <v>521</v>
      </c>
      <c r="H25" s="4">
        <f t="shared" si="0"/>
        <v>0.842105263157895</v>
      </c>
      <c r="I25" s="4">
        <f t="shared" si="1"/>
        <v>1.13755458515284</v>
      </c>
      <c r="J25" s="7">
        <f ca="1">F25-IFERROR(VLOOKUP($A25,'0510'!$A$1:'0510'!G$48,6,FALSE),IFERROR(VLOOKUP($C25,'0510'!$C$1:'0510'!G$48,4,FALSE),F25-D25))</f>
        <v>3</v>
      </c>
      <c r="K25" s="8">
        <f ca="1">G25-IFERROR(VLOOKUP($A25,'0510'!$A$1:'0510'!H$44,7,FALSE),IFERROR(VLOOKUP($C25,'0510'!$C$1:'0510'!H$44,5,FALSE),G25-E25))</f>
        <v>10</v>
      </c>
      <c r="L25" s="4">
        <f ca="1" t="shared" si="2"/>
        <v>3.33333333333333</v>
      </c>
      <c r="M25" s="2" t="s">
        <v>74</v>
      </c>
    </row>
    <row r="26" s="2" customFormat="1" spans="1:13">
      <c r="A26" s="2" t="s">
        <v>96</v>
      </c>
      <c r="B26" s="2" t="s">
        <v>10</v>
      </c>
      <c r="C26" s="9">
        <v>45752</v>
      </c>
      <c r="D26" s="2">
        <v>31</v>
      </c>
      <c r="E26" s="2">
        <v>11</v>
      </c>
      <c r="F26" s="2">
        <v>9548</v>
      </c>
      <c r="G26" s="2">
        <v>1168</v>
      </c>
      <c r="H26" s="4">
        <f t="shared" si="0"/>
        <v>0.354838709677419</v>
      </c>
      <c r="I26" s="4">
        <f t="shared" si="1"/>
        <v>0.122329283619606</v>
      </c>
      <c r="J26" s="7">
        <f ca="1">F26-IFERROR(VLOOKUP($A26,'0510'!$A$1:'0510'!G$48,6,FALSE),IFERROR(VLOOKUP($C26,'0510'!$C$1:'0510'!G$48,4,FALSE),F26-D26))</f>
        <v>3</v>
      </c>
      <c r="K26" s="8">
        <f ca="1">G26-IFERROR(VLOOKUP($A26,'0510'!$A$1:'0510'!H$44,7,FALSE),IFERROR(VLOOKUP($C26,'0510'!$C$1:'0510'!H$44,5,FALSE),G26-E26))</f>
        <v>0</v>
      </c>
      <c r="L26" s="4">
        <f ca="1" t="shared" si="2"/>
        <v>0</v>
      </c>
      <c r="M26" s="2" t="s">
        <v>97</v>
      </c>
    </row>
    <row r="27" s="2" customFormat="1" spans="1:13">
      <c r="A27" s="2" t="s">
        <v>50</v>
      </c>
      <c r="B27" s="2" t="s">
        <v>10</v>
      </c>
      <c r="C27" s="9">
        <v>45748</v>
      </c>
      <c r="D27" s="2">
        <v>35</v>
      </c>
      <c r="E27" s="2">
        <v>5</v>
      </c>
      <c r="F27" s="2">
        <v>224507</v>
      </c>
      <c r="G27" s="2">
        <v>10598</v>
      </c>
      <c r="H27" s="4">
        <f t="shared" si="0"/>
        <v>0.142857142857143</v>
      </c>
      <c r="I27" s="4">
        <f t="shared" si="1"/>
        <v>0.047205655057526</v>
      </c>
      <c r="J27" s="7">
        <f ca="1">F27-IFERROR(VLOOKUP($A27,'0510'!$A$1:'0510'!G$48,6,FALSE),IFERROR(VLOOKUP($C27,'0510'!$C$1:'0510'!G$48,4,FALSE),F27-D27))</f>
        <v>3</v>
      </c>
      <c r="K27" s="8">
        <f ca="1">G27-IFERROR(VLOOKUP($A27,'0510'!$A$1:'0510'!H$44,7,FALSE),IFERROR(VLOOKUP($C27,'0510'!$C$1:'0510'!H$44,5,FALSE),G27-E27))</f>
        <v>0</v>
      </c>
      <c r="L27" s="4">
        <f ca="1" t="shared" si="2"/>
        <v>0</v>
      </c>
      <c r="M27" s="2" t="s">
        <v>78</v>
      </c>
    </row>
    <row r="28" s="2" customFormat="1" spans="1:13">
      <c r="A28" s="2" t="s">
        <v>52</v>
      </c>
      <c r="B28" s="2" t="s">
        <v>10</v>
      </c>
      <c r="C28" s="9">
        <v>45743</v>
      </c>
      <c r="D28" s="2">
        <v>111</v>
      </c>
      <c r="E28" s="2">
        <v>20</v>
      </c>
      <c r="F28" s="2">
        <v>5008</v>
      </c>
      <c r="G28" s="2">
        <v>2011</v>
      </c>
      <c r="H28" s="4">
        <f t="shared" si="0"/>
        <v>0.18018018018018</v>
      </c>
      <c r="I28" s="4">
        <f t="shared" si="1"/>
        <v>0.40155750798722</v>
      </c>
      <c r="J28" s="7">
        <f ca="1">F28-IFERROR(VLOOKUP($A28,'0510'!$A$1:'0510'!G$48,6,FALSE),IFERROR(VLOOKUP($C28,'0510'!$C$1:'0510'!G$48,4,FALSE),F28-D28))</f>
        <v>9</v>
      </c>
      <c r="K28" s="8">
        <f ca="1">G28-IFERROR(VLOOKUP($A28,'0510'!$A$1:'0510'!H$44,7,FALSE),IFERROR(VLOOKUP($C28,'0510'!$C$1:'0510'!H$44,5,FALSE),G28-E28))</f>
        <v>0</v>
      </c>
      <c r="L28" s="4">
        <f ca="1" t="shared" si="2"/>
        <v>0</v>
      </c>
      <c r="M28" s="2" t="s">
        <v>53</v>
      </c>
    </row>
    <row r="29" s="2" customFormat="1" spans="1:13">
      <c r="A29" s="2" t="s">
        <v>54</v>
      </c>
      <c r="B29" s="2" t="s">
        <v>10</v>
      </c>
      <c r="C29" s="9">
        <v>45741</v>
      </c>
      <c r="D29" s="2">
        <v>96</v>
      </c>
      <c r="E29" s="2">
        <v>5</v>
      </c>
      <c r="F29" s="2">
        <v>1320</v>
      </c>
      <c r="G29" s="2">
        <v>692</v>
      </c>
      <c r="H29" s="4">
        <f t="shared" si="0"/>
        <v>0.0520833333333333</v>
      </c>
      <c r="I29" s="4">
        <f t="shared" si="1"/>
        <v>0.524242424242424</v>
      </c>
      <c r="J29" s="7">
        <f ca="1">F29-IFERROR(VLOOKUP($A29,'0510'!$A$1:'0510'!G$48,6,FALSE),IFERROR(VLOOKUP($C29,'0510'!$C$1:'0510'!G$48,4,FALSE),F29-D29))</f>
        <v>6</v>
      </c>
      <c r="K29" s="8">
        <f ca="1">G29-IFERROR(VLOOKUP($A29,'0510'!$A$1:'0510'!H$44,7,FALSE),IFERROR(VLOOKUP($C29,'0510'!$C$1:'0510'!H$44,5,FALSE),G29-E29))</f>
        <v>0</v>
      </c>
      <c r="L29" s="4">
        <f ca="1" t="shared" si="2"/>
        <v>0</v>
      </c>
      <c r="M29" s="13" t="s">
        <v>55</v>
      </c>
    </row>
    <row r="30" s="2" customFormat="1" spans="1:14">
      <c r="A30" s="2" t="s">
        <v>85</v>
      </c>
      <c r="B30" s="2" t="s">
        <v>10</v>
      </c>
      <c r="C30" s="9">
        <v>45739</v>
      </c>
      <c r="D30" s="2">
        <v>27</v>
      </c>
      <c r="E30" s="2">
        <v>10</v>
      </c>
      <c r="F30" s="2">
        <v>302</v>
      </c>
      <c r="G30" s="2">
        <v>664</v>
      </c>
      <c r="H30" s="4">
        <f t="shared" si="0"/>
        <v>0.37037037037037</v>
      </c>
      <c r="I30" s="4">
        <f t="shared" si="1"/>
        <v>2.19867549668874</v>
      </c>
      <c r="J30" s="7">
        <f ca="1">F30-IFERROR(VLOOKUP($A30,'0510'!$A$1:'0510'!G$48,6,FALSE),IFERROR(VLOOKUP($C30,'0510'!$C$1:'0510'!G$48,4,FALSE),F30-D30))</f>
        <v>0</v>
      </c>
      <c r="K30" s="8">
        <f ca="1">G30-IFERROR(VLOOKUP($A30,'0510'!$A$1:'0510'!H$44,7,FALSE),IFERROR(VLOOKUP($C30,'0510'!$C$1:'0510'!H$44,5,FALSE),G30-E30))</f>
        <v>0</v>
      </c>
      <c r="L30" s="4">
        <f ca="1" t="shared" si="2"/>
        <v>0</v>
      </c>
      <c r="M30" s="13" t="s">
        <v>86</v>
      </c>
      <c r="N30" s="2" t="s">
        <v>87</v>
      </c>
    </row>
    <row r="31" s="2" customFormat="1" spans="1:13">
      <c r="A31" s="2" t="s">
        <v>56</v>
      </c>
      <c r="B31" s="2" t="s">
        <v>10</v>
      </c>
      <c r="C31" s="9">
        <v>45734</v>
      </c>
      <c r="D31" s="2">
        <v>17</v>
      </c>
      <c r="E31" s="2">
        <v>10</v>
      </c>
      <c r="F31" s="2">
        <v>514</v>
      </c>
      <c r="G31" s="2">
        <v>680</v>
      </c>
      <c r="H31" s="4">
        <f t="shared" si="0"/>
        <v>0.588235294117647</v>
      </c>
      <c r="I31" s="4">
        <f t="shared" si="1"/>
        <v>1.32295719844358</v>
      </c>
      <c r="J31" s="7">
        <f ca="1">F31-IFERROR(VLOOKUP($A31,'0510'!$A$1:'0510'!G$48,6,FALSE),IFERROR(VLOOKUP($C31,'0510'!$C$1:'0510'!G$48,4,FALSE),F31-D31))</f>
        <v>0</v>
      </c>
      <c r="K31" s="8">
        <f ca="1">G31-IFERROR(VLOOKUP($A31,'0510'!$A$1:'0510'!H$44,7,FALSE),IFERROR(VLOOKUP($C31,'0510'!$C$1:'0510'!H$44,5,FALSE),G31-E31))</f>
        <v>0</v>
      </c>
      <c r="L31" s="4">
        <f ca="1" t="shared" si="2"/>
        <v>0</v>
      </c>
      <c r="M31" s="2" t="s">
        <v>79</v>
      </c>
    </row>
    <row r="32" s="2" customFormat="1" spans="1:14">
      <c r="A32" s="2" t="s">
        <v>98</v>
      </c>
      <c r="B32" s="2" t="s">
        <v>10</v>
      </c>
      <c r="C32" s="9">
        <v>45731</v>
      </c>
      <c r="D32" s="2">
        <v>38</v>
      </c>
      <c r="E32" s="2">
        <v>159</v>
      </c>
      <c r="F32" s="2">
        <v>246</v>
      </c>
      <c r="G32" s="2">
        <v>496</v>
      </c>
      <c r="H32" s="4">
        <f t="shared" si="0"/>
        <v>4.18421052631579</v>
      </c>
      <c r="I32" s="4">
        <f t="shared" si="1"/>
        <v>2.01626016260163</v>
      </c>
      <c r="J32" s="7">
        <f ca="1">F32-IFERROR(VLOOKUP($A32,'0510'!$A$1:'0510'!G$48,6,FALSE),IFERROR(VLOOKUP($C32,'0510'!$C$1:'0510'!G$48,4,FALSE),F32-D32))</f>
        <v>33</v>
      </c>
      <c r="K32" s="8">
        <f ca="1">G32-IFERROR(VLOOKUP($A32,'0510'!$A$1:'0510'!H$44,7,FALSE),IFERROR(VLOOKUP($C32,'0510'!$C$1:'0510'!H$44,5,FALSE),G32-E32))</f>
        <v>139</v>
      </c>
      <c r="L32" s="4">
        <f ca="1" t="shared" si="2"/>
        <v>4.21212121212121</v>
      </c>
      <c r="M32" s="2" t="s">
        <v>99</v>
      </c>
      <c r="N32" s="2" t="s">
        <v>100</v>
      </c>
    </row>
    <row r="33" s="2" customFormat="1" spans="1:13">
      <c r="A33" s="2" t="s">
        <v>75</v>
      </c>
      <c r="B33" s="2" t="s">
        <v>10</v>
      </c>
      <c r="C33" s="9">
        <v>45720</v>
      </c>
      <c r="D33" s="2">
        <v>21</v>
      </c>
      <c r="E33" s="2">
        <v>9</v>
      </c>
      <c r="F33" s="2">
        <v>382</v>
      </c>
      <c r="G33" s="2">
        <v>281</v>
      </c>
      <c r="H33" s="4">
        <f t="shared" si="0"/>
        <v>0.428571428571429</v>
      </c>
      <c r="I33" s="4">
        <f t="shared" si="1"/>
        <v>0.735602094240838</v>
      </c>
      <c r="J33" s="7">
        <f ca="1">F33-IFERROR(VLOOKUP($A33,'0510'!$A$1:'0510'!G$48,6,FALSE),IFERROR(VLOOKUP($C33,'0510'!$C$1:'0510'!G$48,4,FALSE),F33-D33))</f>
        <v>4</v>
      </c>
      <c r="K33" s="8">
        <f ca="1">G33-IFERROR(VLOOKUP($A33,'0510'!$A$1:'0510'!H$44,7,FALSE),IFERROR(VLOOKUP($C33,'0510'!$C$1:'0510'!H$44,5,FALSE),G33-E33))</f>
        <v>0</v>
      </c>
      <c r="L33" s="4">
        <f ca="1" t="shared" si="2"/>
        <v>0</v>
      </c>
      <c r="M33" s="13" t="s">
        <v>76</v>
      </c>
    </row>
    <row r="34" s="2" customFormat="1" spans="1:13">
      <c r="A34" s="2" t="s">
        <v>91</v>
      </c>
      <c r="B34" s="2" t="s">
        <v>10</v>
      </c>
      <c r="C34" s="9">
        <v>45474</v>
      </c>
      <c r="D34" s="2">
        <v>6</v>
      </c>
      <c r="E34" s="2">
        <v>1</v>
      </c>
      <c r="F34" s="2">
        <v>479</v>
      </c>
      <c r="G34" s="2">
        <v>37</v>
      </c>
      <c r="H34" s="4">
        <f t="shared" si="0"/>
        <v>0.166666666666667</v>
      </c>
      <c r="I34" s="4">
        <f t="shared" si="1"/>
        <v>0.0772442588726513</v>
      </c>
      <c r="J34" s="7">
        <f ca="1">F34-IFERROR(VLOOKUP($A34,'0510'!$A$1:'0510'!G$48,6,FALSE),IFERROR(VLOOKUP($C34,'0510'!$C$1:'0510'!G$48,4,FALSE),F34-D34))</f>
        <v>0</v>
      </c>
      <c r="K34" s="8">
        <f ca="1">G34-IFERROR(VLOOKUP($A34,'0510'!$A$1:'0510'!H$44,7,FALSE),IFERROR(VLOOKUP($C34,'0510'!$C$1:'0510'!H$44,5,FALSE),G34-E34))</f>
        <v>0</v>
      </c>
      <c r="L34" s="4">
        <f ca="1" t="shared" si="2"/>
        <v>0</v>
      </c>
      <c r="M34" s="2" t="s">
        <v>92</v>
      </c>
    </row>
    <row r="35" spans="11:11">
      <c r="K35" s="2">
        <f ca="1">SUM(K2:K34)</f>
        <v>1032</v>
      </c>
    </row>
    <row r="45" s="2" customFormat="1" ht="15.15" spans="1:14">
      <c r="A45" s="15" t="s">
        <v>35</v>
      </c>
      <c r="B45" s="15"/>
      <c r="C45" s="16">
        <v>45765</v>
      </c>
      <c r="D45" s="17"/>
      <c r="M45" s="2" t="s">
        <v>102</v>
      </c>
      <c r="N45"/>
    </row>
  </sheetData>
  <hyperlinks>
    <hyperlink ref="A45" r:id="rId1" display="鸡头跟鸡屁股都去哪儿了？？？" tooltip="https://www.zhihu.com/question/1896061581936281319/answer/1896363985483325468"/>
  </hyperlink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5"/>
  <sheetViews>
    <sheetView topLeftCell="A10" workbookViewId="0">
      <selection activeCell="A25" sqref="$A25:$XFD25"/>
    </sheetView>
  </sheetViews>
  <sheetFormatPr defaultColWidth="10" defaultRowHeight="14.4"/>
  <cols>
    <col min="1" max="1" width="50.7777777777778" style="2" customWidth="1"/>
    <col min="2" max="2" width="0.111111111111111" style="2" customWidth="1"/>
    <col min="3" max="3" width="10" style="2"/>
    <col min="4" max="7" width="6.22222222222222" style="2" customWidth="1"/>
    <col min="8" max="9" width="6.77777777777778" style="2" customWidth="1"/>
    <col min="10" max="10" width="7.66666666666667" style="2" customWidth="1"/>
    <col min="11" max="12" width="6.77777777777778" style="2" customWidth="1"/>
    <col min="13" max="13" width="18.6666666666667" style="2" customWidth="1"/>
    <col min="14" max="14" width="19.6666666666667" style="2" customWidth="1"/>
    <col min="15" max="16384" width="10" style="2"/>
  </cols>
  <sheetData>
    <row r="1" s="2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J1" s="5" t="s">
        <v>7</v>
      </c>
      <c r="K1" s="5" t="s">
        <v>8</v>
      </c>
    </row>
    <row r="2" s="2" customFormat="1" spans="1:12">
      <c r="A2" s="2" t="s">
        <v>103</v>
      </c>
      <c r="B2" s="2" t="s">
        <v>10</v>
      </c>
      <c r="C2" s="9">
        <v>45788</v>
      </c>
      <c r="D2" s="2">
        <v>96</v>
      </c>
      <c r="E2" s="2">
        <v>314</v>
      </c>
      <c r="F2" s="2">
        <v>96</v>
      </c>
      <c r="G2" s="2">
        <v>314</v>
      </c>
      <c r="H2" s="4">
        <f t="shared" ref="H2:H34" si="0">E2/D2</f>
        <v>3.27083333333333</v>
      </c>
      <c r="I2" s="4">
        <f t="shared" ref="I2:I34" si="1">G2/F2</f>
        <v>3.27083333333333</v>
      </c>
      <c r="J2" s="7">
        <f ca="1">F2-IFERROR(VLOOKUP($A2,'0511'!$A$1:'0511'!G$48,6,FALSE),IFERROR(VLOOKUP($C2,'0511'!$C$1:'0511'!G$48,4,FALSE),F2-D2))</f>
        <v>96</v>
      </c>
      <c r="K2" s="8">
        <f ca="1">G2-IFERROR(VLOOKUP($A2,'0511'!$A$1:'0511'!H$44,7,FALSE),IFERROR(VLOOKUP($C2,'0511'!$C$1:'0511'!H$44,5,FALSE),G2-E2))</f>
        <v>314</v>
      </c>
      <c r="L2" s="4">
        <f ca="1" t="shared" ref="L2:L34" si="2">IFERROR(K2/J2,)</f>
        <v>3.27083333333333</v>
      </c>
    </row>
    <row r="3" s="2" customFormat="1" spans="1:12">
      <c r="A3" s="2" t="s">
        <v>101</v>
      </c>
      <c r="B3" s="2" t="s">
        <v>10</v>
      </c>
      <c r="C3" s="9">
        <v>45787</v>
      </c>
      <c r="D3" s="2">
        <v>124</v>
      </c>
      <c r="E3" s="2">
        <v>651</v>
      </c>
      <c r="F3" s="2">
        <v>124</v>
      </c>
      <c r="G3" s="2">
        <v>651</v>
      </c>
      <c r="H3" s="4">
        <f t="shared" si="0"/>
        <v>5.25</v>
      </c>
      <c r="I3" s="4">
        <f t="shared" si="1"/>
        <v>5.25</v>
      </c>
      <c r="J3" s="7">
        <f ca="1">F3-IFERROR(VLOOKUP($A3,'0511'!$A$1:'0511'!G$48,6,FALSE),IFERROR(VLOOKUP($C3,'0511'!$C$1:'0511'!G$48,4,FALSE),F3-D3))</f>
        <v>27</v>
      </c>
      <c r="K3" s="8">
        <f ca="1">G3-IFERROR(VLOOKUP($A3,'0511'!$A$1:'0511'!H$44,7,FALSE),IFERROR(VLOOKUP($C3,'0511'!$C$1:'0511'!H$44,5,FALSE),G3-E3))</f>
        <v>136</v>
      </c>
      <c r="L3" s="4">
        <f ca="1" t="shared" si="2"/>
        <v>5.03703703703704</v>
      </c>
    </row>
    <row r="4" s="2" customFormat="1" spans="1:13">
      <c r="A4" s="2" t="s">
        <v>93</v>
      </c>
      <c r="B4" s="2" t="s">
        <v>10</v>
      </c>
      <c r="C4" s="9">
        <v>45786</v>
      </c>
      <c r="D4" s="2">
        <v>169</v>
      </c>
      <c r="E4" s="2">
        <v>281</v>
      </c>
      <c r="F4" s="2">
        <v>169</v>
      </c>
      <c r="G4" s="2">
        <v>281</v>
      </c>
      <c r="H4" s="4">
        <f t="shared" si="0"/>
        <v>1.66272189349112</v>
      </c>
      <c r="I4" s="4">
        <f t="shared" si="1"/>
        <v>1.66272189349112</v>
      </c>
      <c r="J4" s="7">
        <f ca="1">F4-IFERROR(VLOOKUP($A4,'0511'!$A$1:'0511'!G$48,6,FALSE),IFERROR(VLOOKUP($C4,'0511'!$C$1:'0511'!G$48,4,FALSE),F4-D4))</f>
        <v>25</v>
      </c>
      <c r="K4" s="8">
        <f ca="1">G4-IFERROR(VLOOKUP($A4,'0511'!$A$1:'0511'!H$44,7,FALSE),IFERROR(VLOOKUP($C4,'0511'!$C$1:'0511'!H$44,5,FALSE),G4-E4))</f>
        <v>6</v>
      </c>
      <c r="L4" s="4">
        <f ca="1" t="shared" si="2"/>
        <v>0.24</v>
      </c>
      <c r="M4" s="2" t="s">
        <v>94</v>
      </c>
    </row>
    <row r="5" s="2" customFormat="1" spans="1:12">
      <c r="A5" s="2" t="s">
        <v>95</v>
      </c>
      <c r="B5" s="2" t="s">
        <v>10</v>
      </c>
      <c r="C5" s="9">
        <v>45786</v>
      </c>
      <c r="D5" s="2">
        <v>320</v>
      </c>
      <c r="E5" s="2">
        <v>319</v>
      </c>
      <c r="F5" s="2">
        <v>320</v>
      </c>
      <c r="G5" s="2">
        <v>319</v>
      </c>
      <c r="H5" s="4">
        <f t="shared" si="0"/>
        <v>0.996875</v>
      </c>
      <c r="I5" s="4">
        <f t="shared" si="1"/>
        <v>0.996875</v>
      </c>
      <c r="J5" s="7">
        <f ca="1">F5-IFERROR(VLOOKUP($A5,'0511'!$A$1:'0511'!G$48,6,FALSE),IFERROR(VLOOKUP($C5,'0511'!$C$1:'0511'!G$48,4,FALSE),F5-D5))</f>
        <v>55</v>
      </c>
      <c r="K5" s="8">
        <f ca="1">G5-IFERROR(VLOOKUP($A5,'0511'!$A$1:'0511'!H$44,7,FALSE),IFERROR(VLOOKUP($C5,'0511'!$C$1:'0511'!H$44,5,FALSE),G5-E5))</f>
        <v>25</v>
      </c>
      <c r="L5" s="4">
        <f ca="1" t="shared" si="2"/>
        <v>0.454545454545455</v>
      </c>
    </row>
    <row r="6" s="2" customFormat="1" spans="1:12">
      <c r="A6" s="2" t="s">
        <v>88</v>
      </c>
      <c r="B6" s="2" t="s">
        <v>10</v>
      </c>
      <c r="C6" s="9">
        <v>45785</v>
      </c>
      <c r="D6" s="2">
        <v>290</v>
      </c>
      <c r="E6" s="2">
        <v>195</v>
      </c>
      <c r="F6" s="2">
        <v>290</v>
      </c>
      <c r="G6" s="2">
        <v>195</v>
      </c>
      <c r="H6" s="4">
        <f t="shared" si="0"/>
        <v>0.672413793103448</v>
      </c>
      <c r="I6" s="4">
        <f t="shared" si="1"/>
        <v>0.672413793103448</v>
      </c>
      <c r="J6" s="7">
        <f ca="1">F6-IFERROR(VLOOKUP($A6,'0511'!$A$1:'0511'!G$48,6,FALSE),IFERROR(VLOOKUP($C6,'0511'!$C$1:'0511'!G$48,4,FALSE),F6-D6))</f>
        <v>4</v>
      </c>
      <c r="K6" s="8">
        <f ca="1">G6-IFERROR(VLOOKUP($A6,'0511'!$A$1:'0511'!H$44,7,FALSE),IFERROR(VLOOKUP($C6,'0511'!$C$1:'0511'!H$44,5,FALSE),G6-E6))</f>
        <v>0</v>
      </c>
      <c r="L6" s="4">
        <f ca="1" t="shared" si="2"/>
        <v>0</v>
      </c>
    </row>
    <row r="7" s="2" customFormat="1" spans="1:12">
      <c r="A7" s="2" t="s">
        <v>83</v>
      </c>
      <c r="B7" s="2" t="s">
        <v>10</v>
      </c>
      <c r="C7" s="9">
        <v>45784</v>
      </c>
      <c r="D7" s="2">
        <v>526</v>
      </c>
      <c r="E7" s="2">
        <v>622</v>
      </c>
      <c r="F7" s="2">
        <v>526</v>
      </c>
      <c r="G7" s="2">
        <v>622</v>
      </c>
      <c r="H7" s="4">
        <f t="shared" si="0"/>
        <v>1.18250950570342</v>
      </c>
      <c r="I7" s="4">
        <f t="shared" si="1"/>
        <v>1.18250950570342</v>
      </c>
      <c r="J7" s="7">
        <f ca="1">F7-IFERROR(VLOOKUP($A7,'0511'!$A$1:'0511'!G$48,6,FALSE),IFERROR(VLOOKUP($C7,'0511'!$C$1:'0511'!G$48,4,FALSE),F7-D7))</f>
        <v>13</v>
      </c>
      <c r="K7" s="8">
        <f ca="1">G7-IFERROR(VLOOKUP($A7,'0511'!$A$1:'0511'!H$44,7,FALSE),IFERROR(VLOOKUP($C7,'0511'!$C$1:'0511'!H$44,5,FALSE),G7-E7))</f>
        <v>0</v>
      </c>
      <c r="L7" s="4">
        <f ca="1" t="shared" si="2"/>
        <v>0</v>
      </c>
    </row>
    <row r="8" s="2" customFormat="1" spans="1:12">
      <c r="A8" s="2" t="s">
        <v>80</v>
      </c>
      <c r="B8" s="2" t="s">
        <v>10</v>
      </c>
      <c r="C8" s="9">
        <v>45783</v>
      </c>
      <c r="D8" s="2">
        <v>205</v>
      </c>
      <c r="E8" s="2">
        <v>216</v>
      </c>
      <c r="F8" s="2">
        <v>205</v>
      </c>
      <c r="G8" s="2">
        <v>216</v>
      </c>
      <c r="H8" s="4">
        <f t="shared" si="0"/>
        <v>1.05365853658537</v>
      </c>
      <c r="I8" s="4">
        <f t="shared" si="1"/>
        <v>1.05365853658537</v>
      </c>
      <c r="J8" s="7">
        <f ca="1">F8-IFERROR(VLOOKUP($A8,'0511'!$A$1:'0511'!G$48,6,FALSE),IFERROR(VLOOKUP($C8,'0511'!$C$1:'0511'!G$48,4,FALSE),F8-D8))</f>
        <v>13</v>
      </c>
      <c r="K8" s="8">
        <f ca="1">G8-IFERROR(VLOOKUP($A8,'0511'!$A$1:'0511'!H$44,7,FALSE),IFERROR(VLOOKUP($C8,'0511'!$C$1:'0511'!H$44,5,FALSE),G8-E8))</f>
        <v>0</v>
      </c>
      <c r="L8" s="4">
        <f ca="1" t="shared" si="2"/>
        <v>0</v>
      </c>
    </row>
    <row r="9" s="2" customFormat="1" spans="1:12">
      <c r="A9" s="2" t="s">
        <v>81</v>
      </c>
      <c r="B9" s="2" t="s">
        <v>10</v>
      </c>
      <c r="C9" s="9">
        <v>45783</v>
      </c>
      <c r="D9" s="2">
        <v>142</v>
      </c>
      <c r="E9" s="2">
        <v>209</v>
      </c>
      <c r="F9" s="2">
        <v>142</v>
      </c>
      <c r="G9" s="2">
        <v>209</v>
      </c>
      <c r="H9" s="4">
        <f t="shared" si="0"/>
        <v>1.47183098591549</v>
      </c>
      <c r="I9" s="4">
        <f t="shared" si="1"/>
        <v>1.47183098591549</v>
      </c>
      <c r="J9" s="7">
        <f ca="1">F9-IFERROR(VLOOKUP($A9,'0511'!$A$1:'0511'!G$48,6,FALSE),IFERROR(VLOOKUP($C9,'0511'!$C$1:'0511'!G$48,4,FALSE),F9-D9))</f>
        <v>4</v>
      </c>
      <c r="K9" s="8">
        <f ca="1">G9-IFERROR(VLOOKUP($A9,'0511'!$A$1:'0511'!H$44,7,FALSE),IFERROR(VLOOKUP($C9,'0511'!$C$1:'0511'!H$44,5,FALSE),G9-E9))</f>
        <v>0</v>
      </c>
      <c r="L9" s="4">
        <f ca="1" t="shared" si="2"/>
        <v>0</v>
      </c>
    </row>
    <row r="10" s="2" customFormat="1" spans="1:12">
      <c r="A10" s="2" t="s">
        <v>77</v>
      </c>
      <c r="B10" s="2" t="s">
        <v>10</v>
      </c>
      <c r="C10" s="9">
        <v>45782</v>
      </c>
      <c r="D10" s="2">
        <v>323</v>
      </c>
      <c r="E10" s="2">
        <v>216</v>
      </c>
      <c r="F10" s="2">
        <v>323</v>
      </c>
      <c r="G10" s="2">
        <v>216</v>
      </c>
      <c r="H10" s="4">
        <f t="shared" si="0"/>
        <v>0.668730650154799</v>
      </c>
      <c r="I10" s="4">
        <f t="shared" si="1"/>
        <v>0.668730650154799</v>
      </c>
      <c r="J10" s="7">
        <f ca="1">F10-IFERROR(VLOOKUP($A10,'0511'!$A$1:'0511'!G$48,6,FALSE),IFERROR(VLOOKUP($C10,'0511'!$C$1:'0511'!G$48,4,FALSE),F10-D10))</f>
        <v>5</v>
      </c>
      <c r="K10" s="8">
        <f ca="1">G10-IFERROR(VLOOKUP($A10,'0511'!$A$1:'0511'!H$44,7,FALSE),IFERROR(VLOOKUP($C10,'0511'!$C$1:'0511'!H$44,5,FALSE),G10-E10))</f>
        <v>8</v>
      </c>
      <c r="L10" s="4">
        <f ca="1" t="shared" si="2"/>
        <v>1.6</v>
      </c>
    </row>
    <row r="11" s="2" customFormat="1" spans="1:12">
      <c r="A11" s="2" t="s">
        <v>72</v>
      </c>
      <c r="B11" s="2" t="s">
        <v>10</v>
      </c>
      <c r="C11" s="9">
        <v>45781</v>
      </c>
      <c r="D11" s="2">
        <v>235</v>
      </c>
      <c r="E11" s="2">
        <v>443</v>
      </c>
      <c r="F11" s="2">
        <v>308</v>
      </c>
      <c r="G11" s="2">
        <v>653</v>
      </c>
      <c r="H11" s="4">
        <f t="shared" si="0"/>
        <v>1.88510638297872</v>
      </c>
      <c r="I11" s="4">
        <f t="shared" si="1"/>
        <v>2.12012987012987</v>
      </c>
      <c r="J11" s="7">
        <f ca="1">F11-IFERROR(VLOOKUP($A11,'0511'!$A$1:'0511'!G$48,6,FALSE),IFERROR(VLOOKUP($C11,'0511'!$C$1:'0511'!G$48,4,FALSE),F11-D11))</f>
        <v>38</v>
      </c>
      <c r="K11" s="8">
        <f ca="1">G11-IFERROR(VLOOKUP($A11,'0511'!$A$1:'0511'!H$44,7,FALSE),IFERROR(VLOOKUP($C11,'0511'!$C$1:'0511'!H$44,5,FALSE),G11-E11))</f>
        <v>6</v>
      </c>
      <c r="L11" s="4">
        <f ca="1" t="shared" si="2"/>
        <v>0.157894736842105</v>
      </c>
    </row>
    <row r="12" s="2" customFormat="1" spans="1:12">
      <c r="A12" s="2" t="s">
        <v>69</v>
      </c>
      <c r="B12" s="2" t="s">
        <v>10</v>
      </c>
      <c r="C12" s="9">
        <v>45780</v>
      </c>
      <c r="D12" s="2">
        <v>520</v>
      </c>
      <c r="E12" s="2">
        <v>133</v>
      </c>
      <c r="F12" s="2">
        <v>1221</v>
      </c>
      <c r="G12" s="2">
        <v>537</v>
      </c>
      <c r="H12" s="4">
        <f t="shared" si="0"/>
        <v>0.255769230769231</v>
      </c>
      <c r="I12" s="4">
        <f t="shared" si="1"/>
        <v>0.43980343980344</v>
      </c>
      <c r="J12" s="7">
        <f ca="1">F12-IFERROR(VLOOKUP($A12,'0511'!$A$1:'0511'!G$48,6,FALSE),IFERROR(VLOOKUP($C12,'0511'!$C$1:'0511'!G$48,4,FALSE),F12-D12))</f>
        <v>3</v>
      </c>
      <c r="K12" s="8">
        <f ca="1">G12-IFERROR(VLOOKUP($A12,'0511'!$A$1:'0511'!H$44,7,FALSE),IFERROR(VLOOKUP($C12,'0511'!$C$1:'0511'!H$44,5,FALSE),G12-E12))</f>
        <v>0</v>
      </c>
      <c r="L12" s="4">
        <f ca="1" t="shared" si="2"/>
        <v>0</v>
      </c>
    </row>
    <row r="13" s="2" customFormat="1" spans="1:12">
      <c r="A13" s="2" t="s">
        <v>68</v>
      </c>
      <c r="B13" s="2" t="s">
        <v>10</v>
      </c>
      <c r="C13" s="9">
        <v>45779</v>
      </c>
      <c r="D13" s="2">
        <v>63</v>
      </c>
      <c r="E13" s="2">
        <v>8</v>
      </c>
      <c r="F13" s="2">
        <v>196</v>
      </c>
      <c r="G13" s="2">
        <v>147</v>
      </c>
      <c r="H13" s="4">
        <f t="shared" si="0"/>
        <v>0.126984126984127</v>
      </c>
      <c r="I13" s="4">
        <f t="shared" si="1"/>
        <v>0.75</v>
      </c>
      <c r="J13" s="7">
        <f ca="1">F13-IFERROR(VLOOKUP($A13,'0511'!$A$1:'0511'!G$48,6,FALSE),IFERROR(VLOOKUP($C13,'0511'!$C$1:'0511'!G$48,4,FALSE),F13-D13))</f>
        <v>2</v>
      </c>
      <c r="K13" s="8">
        <f ca="1">G13-IFERROR(VLOOKUP($A13,'0511'!$A$1:'0511'!H$44,7,FALSE),IFERROR(VLOOKUP($C13,'0511'!$C$1:'0511'!H$44,5,FALSE),G13-E13))</f>
        <v>0</v>
      </c>
      <c r="L13" s="4">
        <f ca="1" t="shared" si="2"/>
        <v>0</v>
      </c>
    </row>
    <row r="14" s="2" customFormat="1" spans="1:12">
      <c r="A14" s="2" t="s">
        <v>66</v>
      </c>
      <c r="B14" s="2" t="s">
        <v>10</v>
      </c>
      <c r="C14" s="9">
        <v>45778</v>
      </c>
      <c r="D14" s="2">
        <v>43</v>
      </c>
      <c r="E14" s="2">
        <v>14</v>
      </c>
      <c r="F14" s="2">
        <v>385</v>
      </c>
      <c r="G14" s="2">
        <v>168</v>
      </c>
      <c r="H14" s="4">
        <f t="shared" si="0"/>
        <v>0.325581395348837</v>
      </c>
      <c r="I14" s="4">
        <f t="shared" si="1"/>
        <v>0.436363636363636</v>
      </c>
      <c r="J14" s="7">
        <f ca="1">F14-IFERROR(VLOOKUP($A14,'0511'!$A$1:'0511'!G$48,6,FALSE),IFERROR(VLOOKUP($C14,'0511'!$C$1:'0511'!G$48,4,FALSE),F14-D14))</f>
        <v>0</v>
      </c>
      <c r="K14" s="8">
        <f ca="1">G14-IFERROR(VLOOKUP($A14,'0511'!$A$1:'0511'!H$44,7,FALSE),IFERROR(VLOOKUP($C14,'0511'!$C$1:'0511'!H$44,5,FALSE),G14-E14))</f>
        <v>0</v>
      </c>
      <c r="L14" s="4">
        <f ca="1" t="shared" si="2"/>
        <v>0</v>
      </c>
    </row>
    <row r="15" s="2" customFormat="1" spans="1:13">
      <c r="A15" s="2" t="s">
        <v>9</v>
      </c>
      <c r="B15" s="2" t="s">
        <v>10</v>
      </c>
      <c r="C15" s="9">
        <v>45777</v>
      </c>
      <c r="D15" s="2">
        <v>30</v>
      </c>
      <c r="E15" s="2">
        <v>21</v>
      </c>
      <c r="F15" s="2">
        <v>239</v>
      </c>
      <c r="G15" s="2">
        <v>304</v>
      </c>
      <c r="H15" s="4">
        <f t="shared" si="0"/>
        <v>0.7</v>
      </c>
      <c r="I15" s="4">
        <f t="shared" si="1"/>
        <v>1.27196652719665</v>
      </c>
      <c r="J15" s="7">
        <f ca="1">F15-IFERROR(VLOOKUP($A15,'0511'!$A$1:'0511'!G$48,6,FALSE),IFERROR(VLOOKUP($C15,'0511'!$C$1:'0511'!G$48,4,FALSE),F15-D15))</f>
        <v>0</v>
      </c>
      <c r="K15" s="8">
        <f ca="1">G15-IFERROR(VLOOKUP($A15,'0511'!$A$1:'0511'!H$44,7,FALSE),IFERROR(VLOOKUP($C15,'0511'!$C$1:'0511'!H$44,5,FALSE),G15-E15))</f>
        <v>0</v>
      </c>
      <c r="L15" s="4">
        <f ca="1" t="shared" si="2"/>
        <v>0</v>
      </c>
      <c r="M15" s="2" t="s">
        <v>84</v>
      </c>
    </row>
    <row r="16" s="2" customFormat="1" spans="1:13">
      <c r="A16" s="2" t="s">
        <v>11</v>
      </c>
      <c r="B16" s="2" t="s">
        <v>10</v>
      </c>
      <c r="C16" s="9">
        <v>45777</v>
      </c>
      <c r="D16" s="2">
        <v>98</v>
      </c>
      <c r="E16" s="2">
        <v>430</v>
      </c>
      <c r="F16" s="2">
        <v>196</v>
      </c>
      <c r="G16" s="2">
        <v>748</v>
      </c>
      <c r="H16" s="4">
        <f t="shared" si="0"/>
        <v>4.38775510204082</v>
      </c>
      <c r="I16" s="4">
        <f t="shared" si="1"/>
        <v>3.81632653061224</v>
      </c>
      <c r="J16" s="7">
        <f ca="1">F16-IFERROR(VLOOKUP($A16,'0511'!$A$1:'0511'!G$48,6,FALSE),IFERROR(VLOOKUP($C16,'0511'!$C$1:'0511'!G$48,4,FALSE),F16-D16))</f>
        <v>10</v>
      </c>
      <c r="K16" s="8">
        <f ca="1">G16-IFERROR(VLOOKUP($A16,'0511'!$A$1:'0511'!H$44,7,FALSE),IFERROR(VLOOKUP($C16,'0511'!$C$1:'0511'!H$44,5,FALSE),G16-E16))</f>
        <v>0</v>
      </c>
      <c r="L16" s="4">
        <f ca="1" t="shared" si="2"/>
        <v>0</v>
      </c>
      <c r="M16" s="2" t="s">
        <v>67</v>
      </c>
    </row>
    <row r="17" s="2" customFormat="1" spans="1:12">
      <c r="A17" s="2" t="s">
        <v>12</v>
      </c>
      <c r="B17" s="2" t="s">
        <v>10</v>
      </c>
      <c r="C17" s="9">
        <v>45776</v>
      </c>
      <c r="D17" s="2">
        <v>74</v>
      </c>
      <c r="E17" s="2">
        <v>4</v>
      </c>
      <c r="F17" s="2">
        <v>680</v>
      </c>
      <c r="G17" s="2">
        <v>397</v>
      </c>
      <c r="H17" s="4">
        <f t="shared" si="0"/>
        <v>0.0540540540540541</v>
      </c>
      <c r="I17" s="4">
        <f t="shared" si="1"/>
        <v>0.583823529411765</v>
      </c>
      <c r="J17" s="7">
        <f ca="1">F17-IFERROR(VLOOKUP($A17,'0511'!$A$1:'0511'!G$48,6,FALSE),IFERROR(VLOOKUP($C17,'0511'!$C$1:'0511'!G$48,4,FALSE),F17-D17))</f>
        <v>5</v>
      </c>
      <c r="K17" s="8">
        <f ca="1">G17-IFERROR(VLOOKUP($A17,'0511'!$A$1:'0511'!H$44,7,FALSE),IFERROR(VLOOKUP($C17,'0511'!$C$1:'0511'!H$44,5,FALSE),G17-E17))</f>
        <v>0</v>
      </c>
      <c r="L17" s="4">
        <f ca="1" t="shared" si="2"/>
        <v>0</v>
      </c>
    </row>
    <row r="18" s="2" customFormat="1" spans="1:12">
      <c r="A18" s="2" t="s">
        <v>27</v>
      </c>
      <c r="B18" s="2" t="s">
        <v>10</v>
      </c>
      <c r="C18" s="9">
        <v>45769</v>
      </c>
      <c r="D18" s="2">
        <v>40</v>
      </c>
      <c r="E18" s="2">
        <v>14</v>
      </c>
      <c r="F18" s="2">
        <v>601</v>
      </c>
      <c r="G18" s="2">
        <v>348</v>
      </c>
      <c r="H18" s="4">
        <f t="shared" si="0"/>
        <v>0.35</v>
      </c>
      <c r="I18" s="4">
        <f t="shared" si="1"/>
        <v>0.579034941763727</v>
      </c>
      <c r="J18" s="7">
        <f ca="1">F18-IFERROR(VLOOKUP($A18,'0511'!$A$1:'0511'!G$48,6,FALSE),IFERROR(VLOOKUP($C18,'0511'!$C$1:'0511'!G$48,4,FALSE),F18-D18))</f>
        <v>3</v>
      </c>
      <c r="K18" s="8">
        <f ca="1">G18-IFERROR(VLOOKUP($A18,'0511'!$A$1:'0511'!H$44,7,FALSE),IFERROR(VLOOKUP($C18,'0511'!$C$1:'0511'!H$44,5,FALSE),G18-E18))</f>
        <v>0</v>
      </c>
      <c r="L18" s="4">
        <f ca="1" t="shared" si="2"/>
        <v>0</v>
      </c>
    </row>
    <row r="19" s="2" customFormat="1" spans="1:13">
      <c r="A19" s="2" t="s">
        <v>28</v>
      </c>
      <c r="B19" s="2" t="s">
        <v>10</v>
      </c>
      <c r="C19" s="9">
        <v>45768</v>
      </c>
      <c r="D19" s="2">
        <v>7</v>
      </c>
      <c r="E19" s="2">
        <v>6</v>
      </c>
      <c r="F19" s="2">
        <v>223</v>
      </c>
      <c r="G19" s="2">
        <v>609</v>
      </c>
      <c r="H19" s="4">
        <f t="shared" si="0"/>
        <v>0.857142857142857</v>
      </c>
      <c r="I19" s="4">
        <f t="shared" si="1"/>
        <v>2.73094170403587</v>
      </c>
      <c r="J19" s="7">
        <f ca="1">F19-IFERROR(VLOOKUP($A19,'0511'!$A$1:'0511'!G$48,6,FALSE),IFERROR(VLOOKUP($C19,'0511'!$C$1:'0511'!G$48,4,FALSE),F19-D19))</f>
        <v>7</v>
      </c>
      <c r="K19" s="8">
        <f ca="1">G19-IFERROR(VLOOKUP($A19,'0511'!$A$1:'0511'!H$44,7,FALSE),IFERROR(VLOOKUP($C19,'0511'!$C$1:'0511'!H$44,5,FALSE),G19-E19))</f>
        <v>6</v>
      </c>
      <c r="L19" s="4">
        <f ca="1" t="shared" si="2"/>
        <v>0.857142857142857</v>
      </c>
      <c r="M19" s="2" t="s">
        <v>104</v>
      </c>
    </row>
    <row r="20" s="2" customFormat="1" spans="1:12">
      <c r="A20" s="2" t="s">
        <v>38</v>
      </c>
      <c r="B20" s="2" t="s">
        <v>10</v>
      </c>
      <c r="C20" s="9">
        <v>45764</v>
      </c>
      <c r="D20" s="2">
        <v>62</v>
      </c>
      <c r="E20" s="2">
        <v>7</v>
      </c>
      <c r="F20" s="2">
        <v>434</v>
      </c>
      <c r="G20" s="2">
        <v>282</v>
      </c>
      <c r="H20" s="4">
        <f t="shared" si="0"/>
        <v>0.112903225806452</v>
      </c>
      <c r="I20" s="4">
        <f t="shared" si="1"/>
        <v>0.649769585253456</v>
      </c>
      <c r="J20" s="7">
        <f ca="1">F20-IFERROR(VLOOKUP($A20,'0511'!$A$1:'0511'!G$48,6,FALSE),IFERROR(VLOOKUP($C20,'0511'!$C$1:'0511'!G$48,4,FALSE),F20-D20))</f>
        <v>6</v>
      </c>
      <c r="K20" s="8">
        <f ca="1">G20-IFERROR(VLOOKUP($A20,'0511'!$A$1:'0511'!H$44,7,FALSE),IFERROR(VLOOKUP($C20,'0511'!$C$1:'0511'!H$44,5,FALSE),G20-E20))</f>
        <v>0</v>
      </c>
      <c r="L20" s="4">
        <f ca="1" t="shared" si="2"/>
        <v>0</v>
      </c>
    </row>
    <row r="21" s="2" customFormat="1" spans="1:13">
      <c r="A21" s="2" t="s">
        <v>39</v>
      </c>
      <c r="B21" s="2" t="s">
        <v>10</v>
      </c>
      <c r="C21" s="9">
        <v>45763</v>
      </c>
      <c r="D21" s="2">
        <v>13</v>
      </c>
      <c r="E21" s="2">
        <v>16</v>
      </c>
      <c r="F21" s="2">
        <v>665</v>
      </c>
      <c r="G21" s="2">
        <v>386</v>
      </c>
      <c r="H21" s="4">
        <f t="shared" si="0"/>
        <v>1.23076923076923</v>
      </c>
      <c r="I21" s="4">
        <f t="shared" si="1"/>
        <v>0.580451127819549</v>
      </c>
      <c r="J21" s="7">
        <f ca="1">F21-IFERROR(VLOOKUP($A21,'0511'!$A$1:'0511'!G$48,6,FALSE),IFERROR(VLOOKUP($C21,'0511'!$C$1:'0511'!G$48,4,FALSE),F21-D21))</f>
        <v>1</v>
      </c>
      <c r="K21" s="8">
        <f ca="1">G21-IFERROR(VLOOKUP($A21,'0511'!$A$1:'0511'!H$44,7,FALSE),IFERROR(VLOOKUP($C21,'0511'!$C$1:'0511'!H$44,5,FALSE),G21-E21))</f>
        <v>0</v>
      </c>
      <c r="L21" s="4">
        <f ca="1" t="shared" si="2"/>
        <v>0</v>
      </c>
      <c r="M21" s="2" t="s">
        <v>90</v>
      </c>
    </row>
    <row r="22" s="2" customFormat="1" spans="1:13">
      <c r="A22" s="2" t="s">
        <v>42</v>
      </c>
      <c r="B22" s="2" t="s">
        <v>10</v>
      </c>
      <c r="C22" s="9">
        <v>45762</v>
      </c>
      <c r="D22" s="2">
        <v>25</v>
      </c>
      <c r="E22" s="2">
        <v>6</v>
      </c>
      <c r="F22" s="2">
        <v>628</v>
      </c>
      <c r="G22" s="2">
        <v>647</v>
      </c>
      <c r="H22" s="4">
        <f t="shared" si="0"/>
        <v>0.24</v>
      </c>
      <c r="I22" s="4">
        <f t="shared" si="1"/>
        <v>1.03025477707006</v>
      </c>
      <c r="J22" s="7">
        <f ca="1">F22-IFERROR(VLOOKUP($A22,'0511'!$A$1:'0511'!G$48,6,FALSE),IFERROR(VLOOKUP($C22,'0511'!$C$1:'0511'!G$48,4,FALSE),F22-D22))</f>
        <v>3</v>
      </c>
      <c r="K22" s="8">
        <f ca="1">G22-IFERROR(VLOOKUP($A22,'0511'!$A$1:'0511'!H$44,7,FALSE),IFERROR(VLOOKUP($C22,'0511'!$C$1:'0511'!H$44,5,FALSE),G22-E22))</f>
        <v>0</v>
      </c>
      <c r="L22" s="4">
        <f ca="1" t="shared" si="2"/>
        <v>0</v>
      </c>
      <c r="M22" s="2" t="s">
        <v>43</v>
      </c>
    </row>
    <row r="23" s="2" customFormat="1" spans="1:13">
      <c r="A23" s="2" t="s">
        <v>44</v>
      </c>
      <c r="B23" s="2" t="s">
        <v>10</v>
      </c>
      <c r="C23" s="9">
        <v>45761</v>
      </c>
      <c r="D23" s="2">
        <v>17</v>
      </c>
      <c r="E23" s="2">
        <v>32</v>
      </c>
      <c r="F23" s="2">
        <v>1074</v>
      </c>
      <c r="G23" s="2">
        <v>951</v>
      </c>
      <c r="H23" s="4">
        <f t="shared" si="0"/>
        <v>1.88235294117647</v>
      </c>
      <c r="I23" s="4">
        <f t="shared" si="1"/>
        <v>0.885474860335196</v>
      </c>
      <c r="J23" s="7">
        <f ca="1">F23-IFERROR(VLOOKUP($A23,'0511'!$A$1:'0511'!G$48,6,FALSE),IFERROR(VLOOKUP($C23,'0511'!$C$1:'0511'!G$48,4,FALSE),F23-D23))</f>
        <v>2</v>
      </c>
      <c r="K23" s="8">
        <f ca="1">G23-IFERROR(VLOOKUP($A23,'0511'!$A$1:'0511'!H$44,7,FALSE),IFERROR(VLOOKUP($C23,'0511'!$C$1:'0511'!H$44,5,FALSE),G23-E23))</f>
        <v>0</v>
      </c>
      <c r="L23" s="4">
        <f ca="1" t="shared" si="2"/>
        <v>0</v>
      </c>
      <c r="M23" s="2" t="s">
        <v>45</v>
      </c>
    </row>
    <row r="24" s="2" customFormat="1" spans="1:12">
      <c r="A24" s="2" t="s">
        <v>46</v>
      </c>
      <c r="B24" s="2" t="s">
        <v>10</v>
      </c>
      <c r="C24" s="9">
        <v>45757</v>
      </c>
      <c r="D24" s="2">
        <v>20</v>
      </c>
      <c r="E24" s="2">
        <v>6</v>
      </c>
      <c r="F24" s="2">
        <v>651</v>
      </c>
      <c r="G24" s="2">
        <v>769</v>
      </c>
      <c r="H24" s="4">
        <f t="shared" si="0"/>
        <v>0.3</v>
      </c>
      <c r="I24" s="4">
        <f t="shared" si="1"/>
        <v>1.18125960061444</v>
      </c>
      <c r="J24" s="7">
        <f ca="1">F24-IFERROR(VLOOKUP($A24,'0511'!$A$1:'0511'!G$48,6,FALSE),IFERROR(VLOOKUP($C24,'0511'!$C$1:'0511'!G$48,4,FALSE),F24-D24))</f>
        <v>4</v>
      </c>
      <c r="K24" s="8">
        <f ca="1">G24-IFERROR(VLOOKUP($A24,'0511'!$A$1:'0511'!H$44,7,FALSE),IFERROR(VLOOKUP($C24,'0511'!$C$1:'0511'!H$44,5,FALSE),G24-E24))</f>
        <v>0</v>
      </c>
      <c r="L24" s="4">
        <f ca="1" t="shared" si="2"/>
        <v>0</v>
      </c>
    </row>
    <row r="25" s="2" customFormat="1" spans="1:13">
      <c r="A25" s="2" t="s">
        <v>73</v>
      </c>
      <c r="B25" s="2" t="s">
        <v>10</v>
      </c>
      <c r="C25" s="9">
        <v>45755</v>
      </c>
      <c r="D25" s="2">
        <v>18</v>
      </c>
      <c r="E25" s="2">
        <v>10</v>
      </c>
      <c r="F25" s="2">
        <v>458</v>
      </c>
      <c r="G25" s="2">
        <v>521</v>
      </c>
      <c r="H25" s="4">
        <f t="shared" si="0"/>
        <v>0.555555555555556</v>
      </c>
      <c r="I25" s="4">
        <f t="shared" si="1"/>
        <v>1.13755458515284</v>
      </c>
      <c r="J25" s="7">
        <f ca="1">F25-IFERROR(VLOOKUP($A25,'0511'!$A$1:'0511'!G$48,6,FALSE),IFERROR(VLOOKUP($C25,'0511'!$C$1:'0511'!G$48,4,FALSE),F25-D25))</f>
        <v>0</v>
      </c>
      <c r="K25" s="8">
        <f ca="1">G25-IFERROR(VLOOKUP($A25,'0511'!$A$1:'0511'!H$44,7,FALSE),IFERROR(VLOOKUP($C25,'0511'!$C$1:'0511'!H$44,5,FALSE),G25-E25))</f>
        <v>0</v>
      </c>
      <c r="L25" s="4">
        <f ca="1" t="shared" si="2"/>
        <v>0</v>
      </c>
      <c r="M25" s="2" t="s">
        <v>74</v>
      </c>
    </row>
    <row r="26" s="2" customFormat="1" spans="1:13">
      <c r="A26" s="2" t="s">
        <v>96</v>
      </c>
      <c r="B26" s="2" t="s">
        <v>10</v>
      </c>
      <c r="C26" s="9">
        <v>45752</v>
      </c>
      <c r="D26" s="2">
        <v>34</v>
      </c>
      <c r="E26" s="2">
        <v>11</v>
      </c>
      <c r="F26" s="2">
        <v>9554</v>
      </c>
      <c r="G26" s="2">
        <v>1168</v>
      </c>
      <c r="H26" s="4">
        <f t="shared" si="0"/>
        <v>0.323529411764706</v>
      </c>
      <c r="I26" s="4">
        <f t="shared" si="1"/>
        <v>0.122252459702742</v>
      </c>
      <c r="J26" s="7">
        <f ca="1">F26-IFERROR(VLOOKUP($A26,'0511'!$A$1:'0511'!G$48,6,FALSE),IFERROR(VLOOKUP($C26,'0511'!$C$1:'0511'!G$48,4,FALSE),F26-D26))</f>
        <v>6</v>
      </c>
      <c r="K26" s="8">
        <f ca="1">G26-IFERROR(VLOOKUP($A26,'0511'!$A$1:'0511'!H$44,7,FALSE),IFERROR(VLOOKUP($C26,'0511'!$C$1:'0511'!H$44,5,FALSE),G26-E26))</f>
        <v>0</v>
      </c>
      <c r="L26" s="4">
        <f ca="1" t="shared" si="2"/>
        <v>0</v>
      </c>
      <c r="M26" s="2" t="s">
        <v>97</v>
      </c>
    </row>
    <row r="27" s="2" customFormat="1" spans="1:13">
      <c r="A27" s="2" t="s">
        <v>50</v>
      </c>
      <c r="B27" s="2" t="s">
        <v>10</v>
      </c>
      <c r="C27" s="9">
        <v>45748</v>
      </c>
      <c r="D27" s="2">
        <v>26</v>
      </c>
      <c r="E27" s="2">
        <v>5</v>
      </c>
      <c r="F27" s="2">
        <v>224510</v>
      </c>
      <c r="G27" s="2">
        <v>10598</v>
      </c>
      <c r="H27" s="4">
        <f t="shared" si="0"/>
        <v>0.192307692307692</v>
      </c>
      <c r="I27" s="4">
        <f t="shared" si="1"/>
        <v>0.047205024275088</v>
      </c>
      <c r="J27" s="7">
        <f ca="1">F27-IFERROR(VLOOKUP($A27,'0511'!$A$1:'0511'!G$48,6,FALSE),IFERROR(VLOOKUP($C27,'0511'!$C$1:'0511'!G$48,4,FALSE),F27-D27))</f>
        <v>3</v>
      </c>
      <c r="K27" s="8">
        <f ca="1">G27-IFERROR(VLOOKUP($A27,'0511'!$A$1:'0511'!H$44,7,FALSE),IFERROR(VLOOKUP($C27,'0511'!$C$1:'0511'!H$44,5,FALSE),G27-E27))</f>
        <v>0</v>
      </c>
      <c r="L27" s="4">
        <f ca="1" t="shared" si="2"/>
        <v>0</v>
      </c>
      <c r="M27" s="2" t="s">
        <v>78</v>
      </c>
    </row>
    <row r="28" s="2" customFormat="1" spans="1:13">
      <c r="A28" s="2" t="s">
        <v>52</v>
      </c>
      <c r="B28" s="2" t="s">
        <v>10</v>
      </c>
      <c r="C28" s="9">
        <v>45743</v>
      </c>
      <c r="D28" s="2">
        <v>126</v>
      </c>
      <c r="E28" s="2">
        <v>25</v>
      </c>
      <c r="F28" s="2">
        <v>5038</v>
      </c>
      <c r="G28" s="2">
        <v>2021</v>
      </c>
      <c r="H28" s="4">
        <f t="shared" si="0"/>
        <v>0.198412698412698</v>
      </c>
      <c r="I28" s="4">
        <f t="shared" si="1"/>
        <v>0.401151250496229</v>
      </c>
      <c r="J28" s="7">
        <f ca="1">F28-IFERROR(VLOOKUP($A28,'0511'!$A$1:'0511'!G$48,6,FALSE),IFERROR(VLOOKUP($C28,'0511'!$C$1:'0511'!G$48,4,FALSE),F28-D28))</f>
        <v>30</v>
      </c>
      <c r="K28" s="8">
        <f ca="1">G28-IFERROR(VLOOKUP($A28,'0511'!$A$1:'0511'!H$44,7,FALSE),IFERROR(VLOOKUP($C28,'0511'!$C$1:'0511'!H$44,5,FALSE),G28-E28))</f>
        <v>10</v>
      </c>
      <c r="L28" s="4">
        <f ca="1" t="shared" si="2"/>
        <v>0.333333333333333</v>
      </c>
      <c r="M28" s="2" t="s">
        <v>53</v>
      </c>
    </row>
    <row r="29" s="2" customFormat="1" spans="1:13">
      <c r="A29" s="2" t="s">
        <v>54</v>
      </c>
      <c r="B29" s="2" t="s">
        <v>10</v>
      </c>
      <c r="C29" s="9">
        <v>45741</v>
      </c>
      <c r="D29" s="2">
        <v>90</v>
      </c>
      <c r="E29" s="2">
        <v>5</v>
      </c>
      <c r="F29" s="2">
        <v>1327</v>
      </c>
      <c r="G29" s="2">
        <v>692</v>
      </c>
      <c r="H29" s="4">
        <f t="shared" si="0"/>
        <v>0.0555555555555556</v>
      </c>
      <c r="I29" s="4">
        <f t="shared" si="1"/>
        <v>0.52147701582517</v>
      </c>
      <c r="J29" s="7">
        <f ca="1">F29-IFERROR(VLOOKUP($A29,'0511'!$A$1:'0511'!G$48,6,FALSE),IFERROR(VLOOKUP($C29,'0511'!$C$1:'0511'!G$48,4,FALSE),F29-D29))</f>
        <v>7</v>
      </c>
      <c r="K29" s="8">
        <f ca="1">G29-IFERROR(VLOOKUP($A29,'0511'!$A$1:'0511'!H$44,7,FALSE),IFERROR(VLOOKUP($C29,'0511'!$C$1:'0511'!H$44,5,FALSE),G29-E29))</f>
        <v>0</v>
      </c>
      <c r="L29" s="4">
        <f ca="1" t="shared" si="2"/>
        <v>0</v>
      </c>
      <c r="M29" s="13" t="s">
        <v>55</v>
      </c>
    </row>
    <row r="30" s="2" customFormat="1" spans="1:14">
      <c r="A30" s="2" t="s">
        <v>85</v>
      </c>
      <c r="B30" s="2" t="s">
        <v>10</v>
      </c>
      <c r="C30" s="9">
        <v>45739</v>
      </c>
      <c r="D30" s="2">
        <v>27</v>
      </c>
      <c r="E30" s="2">
        <v>10</v>
      </c>
      <c r="F30" s="2">
        <v>302</v>
      </c>
      <c r="G30" s="2">
        <v>664</v>
      </c>
      <c r="H30" s="4">
        <f t="shared" si="0"/>
        <v>0.37037037037037</v>
      </c>
      <c r="I30" s="4">
        <f t="shared" si="1"/>
        <v>2.19867549668874</v>
      </c>
      <c r="J30" s="7">
        <f ca="1">F30-IFERROR(VLOOKUP($A30,'0511'!$A$1:'0511'!G$48,6,FALSE),IFERROR(VLOOKUP($C30,'0511'!$C$1:'0511'!G$48,4,FALSE),F30-D30))</f>
        <v>0</v>
      </c>
      <c r="K30" s="8">
        <f ca="1">G30-IFERROR(VLOOKUP($A30,'0511'!$A$1:'0511'!H$44,7,FALSE),IFERROR(VLOOKUP($C30,'0511'!$C$1:'0511'!H$44,5,FALSE),G30-E30))</f>
        <v>0</v>
      </c>
      <c r="L30" s="4">
        <f ca="1" t="shared" si="2"/>
        <v>0</v>
      </c>
      <c r="M30" s="13" t="s">
        <v>86</v>
      </c>
      <c r="N30" s="2" t="s">
        <v>87</v>
      </c>
    </row>
    <row r="31" s="2" customFormat="1" spans="1:13">
      <c r="A31" s="2" t="s">
        <v>56</v>
      </c>
      <c r="B31" s="2" t="s">
        <v>10</v>
      </c>
      <c r="C31" s="9">
        <v>45734</v>
      </c>
      <c r="D31" s="2">
        <v>19</v>
      </c>
      <c r="E31" s="2">
        <v>10</v>
      </c>
      <c r="F31" s="2">
        <v>516</v>
      </c>
      <c r="G31" s="2">
        <v>680</v>
      </c>
      <c r="H31" s="4">
        <f t="shared" si="0"/>
        <v>0.526315789473684</v>
      </c>
      <c r="I31" s="4">
        <f t="shared" si="1"/>
        <v>1.31782945736434</v>
      </c>
      <c r="J31" s="7">
        <f ca="1">F31-IFERROR(VLOOKUP($A31,'0511'!$A$1:'0511'!G$48,6,FALSE),IFERROR(VLOOKUP($C31,'0511'!$C$1:'0511'!G$48,4,FALSE),F31-D31))</f>
        <v>2</v>
      </c>
      <c r="K31" s="8">
        <f ca="1">G31-IFERROR(VLOOKUP($A31,'0511'!$A$1:'0511'!H$44,7,FALSE),IFERROR(VLOOKUP($C31,'0511'!$C$1:'0511'!H$44,5,FALSE),G31-E31))</f>
        <v>0</v>
      </c>
      <c r="L31" s="4">
        <f ca="1" t="shared" si="2"/>
        <v>0</v>
      </c>
      <c r="M31" s="2" t="s">
        <v>79</v>
      </c>
    </row>
    <row r="32" s="2" customFormat="1" spans="1:14">
      <c r="A32" s="2" t="s">
        <v>98</v>
      </c>
      <c r="B32" s="2" t="s">
        <v>10</v>
      </c>
      <c r="C32" s="9">
        <v>45731</v>
      </c>
      <c r="D32" s="2">
        <v>59</v>
      </c>
      <c r="E32" s="2">
        <v>226</v>
      </c>
      <c r="F32" s="2">
        <v>267</v>
      </c>
      <c r="G32" s="2">
        <v>563</v>
      </c>
      <c r="H32" s="4">
        <f t="shared" si="0"/>
        <v>3.83050847457627</v>
      </c>
      <c r="I32" s="4">
        <f t="shared" si="1"/>
        <v>2.10861423220974</v>
      </c>
      <c r="J32" s="7">
        <f ca="1">F32-IFERROR(VLOOKUP($A32,'0511'!$A$1:'0511'!G$48,6,FALSE),IFERROR(VLOOKUP($C32,'0511'!$C$1:'0511'!G$48,4,FALSE),F32-D32))</f>
        <v>21</v>
      </c>
      <c r="K32" s="8">
        <f ca="1">G32-IFERROR(VLOOKUP($A32,'0511'!$A$1:'0511'!H$44,7,FALSE),IFERROR(VLOOKUP($C32,'0511'!$C$1:'0511'!H$44,5,FALSE),G32-E32))</f>
        <v>67</v>
      </c>
      <c r="L32" s="4">
        <f ca="1" t="shared" si="2"/>
        <v>3.19047619047619</v>
      </c>
      <c r="M32" s="2" t="s">
        <v>99</v>
      </c>
      <c r="N32" s="2" t="s">
        <v>100</v>
      </c>
    </row>
    <row r="33" s="2" customFormat="1" spans="1:13">
      <c r="A33" s="2" t="s">
        <v>75</v>
      </c>
      <c r="B33" s="2" t="s">
        <v>10</v>
      </c>
      <c r="C33" s="9">
        <v>45720</v>
      </c>
      <c r="D33" s="2">
        <v>10</v>
      </c>
      <c r="E33" s="2">
        <v>6</v>
      </c>
      <c r="F33" s="2">
        <v>382</v>
      </c>
      <c r="G33" s="2">
        <v>281</v>
      </c>
      <c r="H33" s="4">
        <f t="shared" si="0"/>
        <v>0.6</v>
      </c>
      <c r="I33" s="4">
        <f t="shared" si="1"/>
        <v>0.735602094240838</v>
      </c>
      <c r="J33" s="7">
        <f ca="1">F33-IFERROR(VLOOKUP($A33,'0511'!$A$1:'0511'!G$48,6,FALSE),IFERROR(VLOOKUP($C33,'0511'!$C$1:'0511'!G$48,4,FALSE),F33-D33))</f>
        <v>0</v>
      </c>
      <c r="K33" s="8">
        <f ca="1">G33-IFERROR(VLOOKUP($A33,'0511'!$A$1:'0511'!H$44,7,FALSE),IFERROR(VLOOKUP($C33,'0511'!$C$1:'0511'!H$44,5,FALSE),G33-E33))</f>
        <v>0</v>
      </c>
      <c r="L33" s="4">
        <f ca="1" t="shared" si="2"/>
        <v>0</v>
      </c>
      <c r="M33" s="13" t="s">
        <v>76</v>
      </c>
    </row>
    <row r="34" s="2" customFormat="1" spans="1:13">
      <c r="A34" s="2" t="s">
        <v>91</v>
      </c>
      <c r="B34" s="2" t="s">
        <v>10</v>
      </c>
      <c r="C34" s="9">
        <v>45474</v>
      </c>
      <c r="D34" s="2">
        <v>6</v>
      </c>
      <c r="E34" s="2">
        <v>1</v>
      </c>
      <c r="F34" s="2">
        <v>479</v>
      </c>
      <c r="G34" s="2">
        <v>37</v>
      </c>
      <c r="H34" s="4">
        <f t="shared" si="0"/>
        <v>0.166666666666667</v>
      </c>
      <c r="I34" s="4">
        <f t="shared" si="1"/>
        <v>0.0772442588726513</v>
      </c>
      <c r="J34" s="7">
        <f ca="1">F34-IFERROR(VLOOKUP($A34,'0511'!$A$1:'0511'!G$48,6,FALSE),IFERROR(VLOOKUP($C34,'0511'!$C$1:'0511'!G$48,4,FALSE),F34-D34))</f>
        <v>0</v>
      </c>
      <c r="K34" s="8">
        <f ca="1">G34-IFERROR(VLOOKUP($A34,'0511'!$A$1:'0511'!H$44,7,FALSE),IFERROR(VLOOKUP($C34,'0511'!$C$1:'0511'!H$44,5,FALSE),G34-E34))</f>
        <v>0</v>
      </c>
      <c r="L34" s="4">
        <f ca="1" t="shared" si="2"/>
        <v>0</v>
      </c>
      <c r="M34" s="2" t="s">
        <v>92</v>
      </c>
    </row>
    <row r="35" spans="11:11">
      <c r="K35" s="2">
        <f ca="1">SUM(K2:K34)</f>
        <v>578</v>
      </c>
    </row>
    <row r="45" spans="13:14">
      <c r="M45" s="2" t="s">
        <v>102</v>
      </c>
      <c r="N45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5"/>
  <sheetViews>
    <sheetView topLeftCell="A13" workbookViewId="0">
      <selection activeCell="A31" sqref="$A31:$XFD31"/>
    </sheetView>
  </sheetViews>
  <sheetFormatPr defaultColWidth="10" defaultRowHeight="14.4"/>
  <cols>
    <col min="1" max="1" width="53.3333333333333" style="2" customWidth="1"/>
    <col min="2" max="2" width="0.444444444444444" style="2" customWidth="1"/>
    <col min="3" max="3" width="10" style="2"/>
    <col min="4" max="7" width="6.11111111111111" style="2" customWidth="1"/>
    <col min="8" max="9" width="6.77777777777778" style="2" customWidth="1"/>
    <col min="10" max="10" width="7.66666666666667" style="2" customWidth="1"/>
    <col min="11" max="12" width="6.77777777777778" style="2" customWidth="1"/>
    <col min="13" max="13" width="18.6666666666667" style="2" customWidth="1"/>
    <col min="14" max="14" width="19.6666666666667" style="2" customWidth="1"/>
    <col min="15" max="16384" width="10" style="2"/>
  </cols>
  <sheetData>
    <row r="1" s="2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J1" s="5" t="s">
        <v>7</v>
      </c>
      <c r="K1" s="5" t="s">
        <v>8</v>
      </c>
    </row>
    <row r="2" s="2" customFormat="1" spans="1:12">
      <c r="A2" s="2" t="s">
        <v>105</v>
      </c>
      <c r="B2" s="2" t="s">
        <v>10</v>
      </c>
      <c r="C2" s="9">
        <v>45789</v>
      </c>
      <c r="D2" s="2">
        <v>85</v>
      </c>
      <c r="E2" s="2">
        <v>307</v>
      </c>
      <c r="F2" s="2">
        <v>85</v>
      </c>
      <c r="G2" s="2">
        <v>307</v>
      </c>
      <c r="H2" s="4">
        <f t="shared" ref="H2:H34" si="0">E2/D2</f>
        <v>3.61176470588235</v>
      </c>
      <c r="I2" s="4">
        <f t="shared" ref="I2:I34" si="1">G2/F2</f>
        <v>3.61176470588235</v>
      </c>
      <c r="J2" s="7">
        <f ca="1">F2-IFERROR(VLOOKUP($A2,'0512'!$A$1:'0512'!G$48,6,FALSE),IFERROR(VLOOKUP($C2,'0512'!$C$1:'0512'!G$48,4,FALSE),F2-D2))</f>
        <v>85</v>
      </c>
      <c r="K2" s="8">
        <f ca="1">G2-IFERROR(VLOOKUP($A2,'0512'!$A$1:'0512'!H$44,7,FALSE),IFERROR(VLOOKUP($C2,'0512'!$C$1:'0512'!H$44,5,FALSE),G2-E2))</f>
        <v>307</v>
      </c>
      <c r="L2" s="4">
        <f ca="1" t="shared" ref="L2:L34" si="2">IFERROR(K2/J2,)</f>
        <v>3.61176470588235</v>
      </c>
    </row>
    <row r="3" s="2" customFormat="1" spans="1:12">
      <c r="A3" s="2" t="s">
        <v>103</v>
      </c>
      <c r="B3" s="2" t="s">
        <v>10</v>
      </c>
      <c r="C3" s="9">
        <v>45788</v>
      </c>
      <c r="D3" s="2">
        <v>131</v>
      </c>
      <c r="E3" s="2">
        <v>611</v>
      </c>
      <c r="F3" s="2">
        <v>131</v>
      </c>
      <c r="G3" s="2">
        <v>611</v>
      </c>
      <c r="H3" s="4">
        <f t="shared" si="0"/>
        <v>4.66412213740458</v>
      </c>
      <c r="I3" s="4">
        <f t="shared" si="1"/>
        <v>4.66412213740458</v>
      </c>
      <c r="J3" s="7">
        <f ca="1">F3-IFERROR(VLOOKUP($A3,'0512'!$A$1:'0512'!G$48,6,FALSE),IFERROR(VLOOKUP($C3,'0512'!$C$1:'0512'!G$48,4,FALSE),F3-D3))</f>
        <v>35</v>
      </c>
      <c r="K3" s="8">
        <f ca="1">G3-IFERROR(VLOOKUP($A3,'0512'!$A$1:'0512'!H$44,7,FALSE),IFERROR(VLOOKUP($C3,'0512'!$C$1:'0512'!H$44,5,FALSE),G3-E3))</f>
        <v>297</v>
      </c>
      <c r="L3" s="4">
        <f ca="1" t="shared" si="2"/>
        <v>8.48571428571429</v>
      </c>
    </row>
    <row r="4" s="2" customFormat="1" spans="1:12">
      <c r="A4" s="2" t="s">
        <v>101</v>
      </c>
      <c r="B4" s="2" t="s">
        <v>10</v>
      </c>
      <c r="C4" s="9">
        <v>45787</v>
      </c>
      <c r="D4" s="2">
        <v>144</v>
      </c>
      <c r="E4" s="2">
        <v>741</v>
      </c>
      <c r="F4" s="2">
        <v>144</v>
      </c>
      <c r="G4" s="2">
        <v>741</v>
      </c>
      <c r="H4" s="4">
        <f t="shared" si="0"/>
        <v>5.14583333333333</v>
      </c>
      <c r="I4" s="4">
        <f t="shared" si="1"/>
        <v>5.14583333333333</v>
      </c>
      <c r="J4" s="7">
        <f ca="1">F4-IFERROR(VLOOKUP($A4,'0512'!$A$1:'0512'!G$48,6,FALSE),IFERROR(VLOOKUP($C4,'0512'!$C$1:'0512'!G$48,4,FALSE),F4-D4))</f>
        <v>20</v>
      </c>
      <c r="K4" s="8">
        <f ca="1">G4-IFERROR(VLOOKUP($A4,'0512'!$A$1:'0512'!H$44,7,FALSE),IFERROR(VLOOKUP($C4,'0512'!$C$1:'0512'!H$44,5,FALSE),G4-E4))</f>
        <v>90</v>
      </c>
      <c r="L4" s="4">
        <f ca="1" t="shared" si="2"/>
        <v>4.5</v>
      </c>
    </row>
    <row r="5" s="2" customFormat="1" spans="1:13">
      <c r="A5" s="2" t="s">
        <v>93</v>
      </c>
      <c r="B5" s="2" t="s">
        <v>10</v>
      </c>
      <c r="C5" s="9">
        <v>45786</v>
      </c>
      <c r="D5" s="2">
        <v>270</v>
      </c>
      <c r="E5" s="2">
        <v>281</v>
      </c>
      <c r="F5" s="2">
        <v>270</v>
      </c>
      <c r="G5" s="2">
        <v>281</v>
      </c>
      <c r="H5" s="4">
        <f t="shared" si="0"/>
        <v>1.04074074074074</v>
      </c>
      <c r="I5" s="4">
        <f t="shared" si="1"/>
        <v>1.04074074074074</v>
      </c>
      <c r="J5" s="7">
        <f ca="1">F5-IFERROR(VLOOKUP($A5,'0512'!$A$1:'0512'!G$48,6,FALSE),IFERROR(VLOOKUP($C5,'0512'!$C$1:'0512'!G$48,4,FALSE),F5-D5))</f>
        <v>101</v>
      </c>
      <c r="K5" s="8">
        <f ca="1">G5-IFERROR(VLOOKUP($A5,'0512'!$A$1:'0512'!H$44,7,FALSE),IFERROR(VLOOKUP($C5,'0512'!$C$1:'0512'!H$44,5,FALSE),G5-E5))</f>
        <v>0</v>
      </c>
      <c r="L5" s="4">
        <f ca="1" t="shared" si="2"/>
        <v>0</v>
      </c>
      <c r="M5" s="2" t="s">
        <v>94</v>
      </c>
    </row>
    <row r="6" s="2" customFormat="1" spans="1:12">
      <c r="A6" s="2" t="s">
        <v>95</v>
      </c>
      <c r="B6" s="2" t="s">
        <v>10</v>
      </c>
      <c r="C6" s="9">
        <v>45786</v>
      </c>
      <c r="D6" s="2">
        <v>343</v>
      </c>
      <c r="E6" s="2">
        <v>357</v>
      </c>
      <c r="F6" s="2">
        <v>343</v>
      </c>
      <c r="G6" s="2">
        <v>357</v>
      </c>
      <c r="H6" s="4">
        <f t="shared" si="0"/>
        <v>1.04081632653061</v>
      </c>
      <c r="I6" s="4">
        <f t="shared" si="1"/>
        <v>1.04081632653061</v>
      </c>
      <c r="J6" s="7">
        <f ca="1">F6-IFERROR(VLOOKUP($A6,'0512'!$A$1:'0512'!G$48,6,FALSE),IFERROR(VLOOKUP($C6,'0512'!$C$1:'0512'!G$48,4,FALSE),F6-D6))</f>
        <v>23</v>
      </c>
      <c r="K6" s="8">
        <f ca="1">G6-IFERROR(VLOOKUP($A6,'0512'!$A$1:'0512'!H$44,7,FALSE),IFERROR(VLOOKUP($C6,'0512'!$C$1:'0512'!H$44,5,FALSE),G6-E6))</f>
        <v>38</v>
      </c>
      <c r="L6" s="4">
        <f ca="1" t="shared" si="2"/>
        <v>1.65217391304348</v>
      </c>
    </row>
    <row r="7" s="2" customFormat="1" spans="1:12">
      <c r="A7" s="2" t="s">
        <v>88</v>
      </c>
      <c r="B7" s="2" t="s">
        <v>10</v>
      </c>
      <c r="C7" s="9">
        <v>45785</v>
      </c>
      <c r="D7" s="2">
        <v>297</v>
      </c>
      <c r="E7" s="2">
        <v>195</v>
      </c>
      <c r="F7" s="2">
        <v>297</v>
      </c>
      <c r="G7" s="2">
        <v>195</v>
      </c>
      <c r="H7" s="4">
        <f t="shared" si="0"/>
        <v>0.656565656565657</v>
      </c>
      <c r="I7" s="4">
        <f t="shared" si="1"/>
        <v>0.656565656565657</v>
      </c>
      <c r="J7" s="7">
        <f ca="1">F7-IFERROR(VLOOKUP($A7,'0512'!$A$1:'0512'!G$48,6,FALSE),IFERROR(VLOOKUP($C7,'0512'!$C$1:'0512'!G$48,4,FALSE),F7-D7))</f>
        <v>7</v>
      </c>
      <c r="K7" s="8">
        <f ca="1">G7-IFERROR(VLOOKUP($A7,'0512'!$A$1:'0512'!H$44,7,FALSE),IFERROR(VLOOKUP($C7,'0512'!$C$1:'0512'!H$44,5,FALSE),G7-E7))</f>
        <v>0</v>
      </c>
      <c r="L7" s="4">
        <f ca="1" t="shared" si="2"/>
        <v>0</v>
      </c>
    </row>
    <row r="8" s="2" customFormat="1" spans="1:12">
      <c r="A8" s="2" t="s">
        <v>83</v>
      </c>
      <c r="B8" s="2" t="s">
        <v>10</v>
      </c>
      <c r="C8" s="9">
        <v>45784</v>
      </c>
      <c r="D8" s="2">
        <v>537</v>
      </c>
      <c r="E8" s="2">
        <v>622</v>
      </c>
      <c r="F8" s="2">
        <v>537</v>
      </c>
      <c r="G8" s="2">
        <v>622</v>
      </c>
      <c r="H8" s="4">
        <f t="shared" si="0"/>
        <v>1.15828677839851</v>
      </c>
      <c r="I8" s="4">
        <f t="shared" si="1"/>
        <v>1.15828677839851</v>
      </c>
      <c r="J8" s="7">
        <f ca="1">F8-IFERROR(VLOOKUP($A8,'0512'!$A$1:'0512'!G$48,6,FALSE),IFERROR(VLOOKUP($C8,'0512'!$C$1:'0512'!G$48,4,FALSE),F8-D8))</f>
        <v>11</v>
      </c>
      <c r="K8" s="8">
        <f ca="1">G8-IFERROR(VLOOKUP($A8,'0512'!$A$1:'0512'!H$44,7,FALSE),IFERROR(VLOOKUP($C8,'0512'!$C$1:'0512'!H$44,5,FALSE),G8-E8))</f>
        <v>0</v>
      </c>
      <c r="L8" s="4">
        <f ca="1" t="shared" si="2"/>
        <v>0</v>
      </c>
    </row>
    <row r="9" s="2" customFormat="1" spans="1:12">
      <c r="A9" s="2" t="s">
        <v>80</v>
      </c>
      <c r="B9" s="2" t="s">
        <v>10</v>
      </c>
      <c r="C9" s="9">
        <v>45783</v>
      </c>
      <c r="D9" s="2">
        <v>205</v>
      </c>
      <c r="E9" s="2">
        <v>216</v>
      </c>
      <c r="F9" s="2">
        <v>205</v>
      </c>
      <c r="G9" s="2">
        <v>216</v>
      </c>
      <c r="H9" s="4">
        <f t="shared" si="0"/>
        <v>1.05365853658537</v>
      </c>
      <c r="I9" s="4">
        <f t="shared" si="1"/>
        <v>1.05365853658537</v>
      </c>
      <c r="J9" s="7">
        <f ca="1">F9-IFERROR(VLOOKUP($A9,'0512'!$A$1:'0512'!G$48,6,FALSE),IFERROR(VLOOKUP($C9,'0512'!$C$1:'0512'!G$48,4,FALSE),F9-D9))</f>
        <v>0</v>
      </c>
      <c r="K9" s="8">
        <f ca="1">G9-IFERROR(VLOOKUP($A9,'0512'!$A$1:'0512'!H$44,7,FALSE),IFERROR(VLOOKUP($C9,'0512'!$C$1:'0512'!H$44,5,FALSE),G9-E9))</f>
        <v>0</v>
      </c>
      <c r="L9" s="4">
        <f ca="1" t="shared" si="2"/>
        <v>0</v>
      </c>
    </row>
    <row r="10" s="2" customFormat="1" spans="1:12">
      <c r="A10" s="2" t="s">
        <v>81</v>
      </c>
      <c r="B10" s="2" t="s">
        <v>10</v>
      </c>
      <c r="C10" s="9">
        <v>45783</v>
      </c>
      <c r="D10" s="2">
        <v>145</v>
      </c>
      <c r="E10" s="2">
        <v>209</v>
      </c>
      <c r="F10" s="2">
        <v>145</v>
      </c>
      <c r="G10" s="2">
        <v>209</v>
      </c>
      <c r="H10" s="4">
        <f t="shared" si="0"/>
        <v>1.44137931034483</v>
      </c>
      <c r="I10" s="4">
        <f t="shared" si="1"/>
        <v>1.44137931034483</v>
      </c>
      <c r="J10" s="7">
        <f ca="1">F10-IFERROR(VLOOKUP($A10,'0512'!$A$1:'0512'!G$48,6,FALSE),IFERROR(VLOOKUP($C10,'0512'!$C$1:'0512'!G$48,4,FALSE),F10-D10))</f>
        <v>3</v>
      </c>
      <c r="K10" s="8">
        <f ca="1">G10-IFERROR(VLOOKUP($A10,'0512'!$A$1:'0512'!H$44,7,FALSE),IFERROR(VLOOKUP($C10,'0512'!$C$1:'0512'!H$44,5,FALSE),G10-E10))</f>
        <v>0</v>
      </c>
      <c r="L10" s="4">
        <f ca="1" t="shared" si="2"/>
        <v>0</v>
      </c>
    </row>
    <row r="11" s="2" customFormat="1" spans="1:12">
      <c r="A11" s="2" t="s">
        <v>77</v>
      </c>
      <c r="B11" s="2" t="s">
        <v>10</v>
      </c>
      <c r="C11" s="9">
        <v>45782</v>
      </c>
      <c r="D11" s="2">
        <v>242</v>
      </c>
      <c r="E11" s="2">
        <v>67</v>
      </c>
      <c r="F11" s="2">
        <v>349</v>
      </c>
      <c r="G11" s="2">
        <v>216</v>
      </c>
      <c r="H11" s="4">
        <f t="shared" si="0"/>
        <v>0.276859504132231</v>
      </c>
      <c r="I11" s="4">
        <f t="shared" si="1"/>
        <v>0.6189111747851</v>
      </c>
      <c r="J11" s="7">
        <f ca="1">F11-IFERROR(VLOOKUP($A11,'0512'!$A$1:'0512'!G$48,6,FALSE),IFERROR(VLOOKUP($C11,'0512'!$C$1:'0512'!G$48,4,FALSE),F11-D11))</f>
        <v>26</v>
      </c>
      <c r="K11" s="8">
        <f ca="1">G11-IFERROR(VLOOKUP($A11,'0512'!$A$1:'0512'!H$44,7,FALSE),IFERROR(VLOOKUP($C11,'0512'!$C$1:'0512'!H$44,5,FALSE),G11-E11))</f>
        <v>0</v>
      </c>
      <c r="L11" s="4">
        <f ca="1" t="shared" si="2"/>
        <v>0</v>
      </c>
    </row>
    <row r="12" s="2" customFormat="1" spans="1:12">
      <c r="A12" s="2" t="s">
        <v>72</v>
      </c>
      <c r="B12" s="2" t="s">
        <v>10</v>
      </c>
      <c r="C12" s="9">
        <v>45781</v>
      </c>
      <c r="D12" s="2">
        <v>201</v>
      </c>
      <c r="E12" s="2">
        <v>197</v>
      </c>
      <c r="F12" s="2">
        <v>310</v>
      </c>
      <c r="G12" s="2">
        <v>659</v>
      </c>
      <c r="H12" s="4">
        <f t="shared" si="0"/>
        <v>0.980099502487562</v>
      </c>
      <c r="I12" s="4">
        <f t="shared" si="1"/>
        <v>2.1258064516129</v>
      </c>
      <c r="J12" s="7">
        <f ca="1">F12-IFERROR(VLOOKUP($A12,'0512'!$A$1:'0512'!G$48,6,FALSE),IFERROR(VLOOKUP($C12,'0512'!$C$1:'0512'!G$48,4,FALSE),F12-D12))</f>
        <v>2</v>
      </c>
      <c r="K12" s="8">
        <f ca="1">G12-IFERROR(VLOOKUP($A12,'0512'!$A$1:'0512'!H$44,7,FALSE),IFERROR(VLOOKUP($C12,'0512'!$C$1:'0512'!H$44,5,FALSE),G12-E12))</f>
        <v>6</v>
      </c>
      <c r="L12" s="4">
        <f ca="1" t="shared" si="2"/>
        <v>3</v>
      </c>
    </row>
    <row r="13" s="2" customFormat="1" spans="1:12">
      <c r="A13" s="2" t="s">
        <v>69</v>
      </c>
      <c r="B13" s="2" t="s">
        <v>10</v>
      </c>
      <c r="C13" s="9">
        <v>45780</v>
      </c>
      <c r="D13" s="2">
        <v>263</v>
      </c>
      <c r="E13" s="2">
        <v>49</v>
      </c>
      <c r="F13" s="2">
        <v>1230</v>
      </c>
      <c r="G13" s="2">
        <v>537</v>
      </c>
      <c r="H13" s="4">
        <f t="shared" si="0"/>
        <v>0.186311787072243</v>
      </c>
      <c r="I13" s="4">
        <f t="shared" si="1"/>
        <v>0.436585365853659</v>
      </c>
      <c r="J13" s="7">
        <f ca="1">F13-IFERROR(VLOOKUP($A13,'0512'!$A$1:'0512'!G$48,6,FALSE),IFERROR(VLOOKUP($C13,'0512'!$C$1:'0512'!G$48,4,FALSE),F13-D13))</f>
        <v>9</v>
      </c>
      <c r="K13" s="8">
        <f ca="1">G13-IFERROR(VLOOKUP($A13,'0512'!$A$1:'0512'!H$44,7,FALSE),IFERROR(VLOOKUP($C13,'0512'!$C$1:'0512'!H$44,5,FALSE),G13-E13))</f>
        <v>0</v>
      </c>
      <c r="L13" s="4">
        <f ca="1" t="shared" si="2"/>
        <v>0</v>
      </c>
    </row>
    <row r="14" s="2" customFormat="1" spans="1:12">
      <c r="A14" s="2" t="s">
        <v>68</v>
      </c>
      <c r="B14" s="2" t="s">
        <v>10</v>
      </c>
      <c r="C14" s="9">
        <v>45779</v>
      </c>
      <c r="D14" s="2">
        <v>55</v>
      </c>
      <c r="E14" s="2">
        <v>20</v>
      </c>
      <c r="F14" s="2">
        <v>202</v>
      </c>
      <c r="G14" s="2">
        <v>159</v>
      </c>
      <c r="H14" s="4">
        <f t="shared" si="0"/>
        <v>0.363636363636364</v>
      </c>
      <c r="I14" s="4">
        <f t="shared" si="1"/>
        <v>0.787128712871287</v>
      </c>
      <c r="J14" s="7">
        <f ca="1">F14-IFERROR(VLOOKUP($A14,'0512'!$A$1:'0512'!G$48,6,FALSE),IFERROR(VLOOKUP($C14,'0512'!$C$1:'0512'!G$48,4,FALSE),F14-D14))</f>
        <v>6</v>
      </c>
      <c r="K14" s="8">
        <f ca="1">G14-IFERROR(VLOOKUP($A14,'0512'!$A$1:'0512'!H$44,7,FALSE),IFERROR(VLOOKUP($C14,'0512'!$C$1:'0512'!H$44,5,FALSE),G14-E14))</f>
        <v>12</v>
      </c>
      <c r="L14" s="4">
        <f ca="1" t="shared" si="2"/>
        <v>2</v>
      </c>
    </row>
    <row r="15" s="2" customFormat="1" spans="1:12">
      <c r="A15" s="2" t="s">
        <v>66</v>
      </c>
      <c r="B15" s="2" t="s">
        <v>10</v>
      </c>
      <c r="C15" s="9">
        <v>45778</v>
      </c>
      <c r="D15" s="2">
        <v>42</v>
      </c>
      <c r="E15" s="2">
        <v>14</v>
      </c>
      <c r="F15" s="2">
        <v>391</v>
      </c>
      <c r="G15" s="2">
        <v>168</v>
      </c>
      <c r="H15" s="4">
        <f t="shared" si="0"/>
        <v>0.333333333333333</v>
      </c>
      <c r="I15" s="4">
        <f t="shared" si="1"/>
        <v>0.429667519181586</v>
      </c>
      <c r="J15" s="7">
        <f ca="1">F15-IFERROR(VLOOKUP($A15,'0512'!$A$1:'0512'!G$48,6,FALSE),IFERROR(VLOOKUP($C15,'0512'!$C$1:'0512'!G$48,4,FALSE),F15-D15))</f>
        <v>6</v>
      </c>
      <c r="K15" s="8">
        <f ca="1">G15-IFERROR(VLOOKUP($A15,'0512'!$A$1:'0512'!H$44,7,FALSE),IFERROR(VLOOKUP($C15,'0512'!$C$1:'0512'!H$44,5,FALSE),G15-E15))</f>
        <v>0</v>
      </c>
      <c r="L15" s="4">
        <f ca="1" t="shared" si="2"/>
        <v>0</v>
      </c>
    </row>
    <row r="16" s="2" customFormat="1" spans="1:13">
      <c r="A16" s="2" t="s">
        <v>9</v>
      </c>
      <c r="B16" s="2" t="s">
        <v>10</v>
      </c>
      <c r="C16" s="9">
        <v>45777</v>
      </c>
      <c r="D16" s="2">
        <v>30</v>
      </c>
      <c r="E16" s="2">
        <v>14</v>
      </c>
      <c r="F16" s="2">
        <v>244</v>
      </c>
      <c r="G16" s="2">
        <v>304</v>
      </c>
      <c r="H16" s="4">
        <f t="shared" si="0"/>
        <v>0.466666666666667</v>
      </c>
      <c r="I16" s="4">
        <f t="shared" si="1"/>
        <v>1.24590163934426</v>
      </c>
      <c r="J16" s="7">
        <f ca="1">F16-IFERROR(VLOOKUP($A16,'0512'!$A$1:'0512'!G$48,6,FALSE),IFERROR(VLOOKUP($C16,'0512'!$C$1:'0512'!G$48,4,FALSE),F16-D16))</f>
        <v>5</v>
      </c>
      <c r="K16" s="8">
        <f ca="1">G16-IFERROR(VLOOKUP($A16,'0512'!$A$1:'0512'!H$44,7,FALSE),IFERROR(VLOOKUP($C16,'0512'!$C$1:'0512'!H$44,5,FALSE),G16-E16))</f>
        <v>0</v>
      </c>
      <c r="L16" s="4">
        <f ca="1" t="shared" si="2"/>
        <v>0</v>
      </c>
      <c r="M16" s="2" t="s">
        <v>84</v>
      </c>
    </row>
    <row r="17" s="2" customFormat="1" spans="1:13">
      <c r="A17" s="2" t="s">
        <v>11</v>
      </c>
      <c r="B17" s="2" t="s">
        <v>10</v>
      </c>
      <c r="C17" s="9">
        <v>45777</v>
      </c>
      <c r="D17" s="2">
        <v>77</v>
      </c>
      <c r="E17" s="2">
        <v>236</v>
      </c>
      <c r="F17" s="2">
        <v>196</v>
      </c>
      <c r="G17" s="2">
        <v>748</v>
      </c>
      <c r="H17" s="4">
        <f t="shared" si="0"/>
        <v>3.06493506493506</v>
      </c>
      <c r="I17" s="4">
        <f t="shared" si="1"/>
        <v>3.81632653061224</v>
      </c>
      <c r="J17" s="7">
        <f ca="1">F17-IFERROR(VLOOKUP($A17,'0512'!$A$1:'0512'!G$48,6,FALSE),IFERROR(VLOOKUP($C17,'0512'!$C$1:'0512'!G$48,4,FALSE),F17-D17))</f>
        <v>0</v>
      </c>
      <c r="K17" s="8">
        <f ca="1">G17-IFERROR(VLOOKUP($A17,'0512'!$A$1:'0512'!H$44,7,FALSE),IFERROR(VLOOKUP($C17,'0512'!$C$1:'0512'!H$44,5,FALSE),G17-E17))</f>
        <v>0</v>
      </c>
      <c r="L17" s="4">
        <f ca="1" t="shared" si="2"/>
        <v>0</v>
      </c>
      <c r="M17" s="2" t="s">
        <v>67</v>
      </c>
    </row>
    <row r="18" s="2" customFormat="1" spans="1:12">
      <c r="A18" s="2" t="s">
        <v>12</v>
      </c>
      <c r="B18" s="2" t="s">
        <v>10</v>
      </c>
      <c r="C18" s="9">
        <v>45776</v>
      </c>
      <c r="D18" s="2">
        <v>65</v>
      </c>
      <c r="E18" s="2">
        <v>4</v>
      </c>
      <c r="F18" s="2">
        <v>684</v>
      </c>
      <c r="G18" s="2">
        <v>397</v>
      </c>
      <c r="H18" s="4">
        <f t="shared" si="0"/>
        <v>0.0615384615384615</v>
      </c>
      <c r="I18" s="4">
        <f t="shared" si="1"/>
        <v>0.580409356725146</v>
      </c>
      <c r="J18" s="7">
        <f ca="1">F18-IFERROR(VLOOKUP($A18,'0512'!$A$1:'0512'!G$48,6,FALSE),IFERROR(VLOOKUP($C18,'0512'!$C$1:'0512'!G$48,4,FALSE),F18-D18))</f>
        <v>4</v>
      </c>
      <c r="K18" s="8">
        <f ca="1">G18-IFERROR(VLOOKUP($A18,'0512'!$A$1:'0512'!H$44,7,FALSE),IFERROR(VLOOKUP($C18,'0512'!$C$1:'0512'!H$44,5,FALSE),G18-E18))</f>
        <v>0</v>
      </c>
      <c r="L18" s="4">
        <f ca="1" t="shared" si="2"/>
        <v>0</v>
      </c>
    </row>
    <row r="19" s="2" customFormat="1" spans="1:12">
      <c r="A19" s="2" t="s">
        <v>27</v>
      </c>
      <c r="B19" s="2" t="s">
        <v>10</v>
      </c>
      <c r="C19" s="9">
        <v>45769</v>
      </c>
      <c r="D19" s="2">
        <v>38</v>
      </c>
      <c r="E19" s="2">
        <v>14</v>
      </c>
      <c r="F19" s="2">
        <v>607</v>
      </c>
      <c r="G19" s="2">
        <v>348</v>
      </c>
      <c r="H19" s="4">
        <f t="shared" si="0"/>
        <v>0.368421052631579</v>
      </c>
      <c r="I19" s="4">
        <f t="shared" si="1"/>
        <v>0.57331136738056</v>
      </c>
      <c r="J19" s="7">
        <f ca="1">F19-IFERROR(VLOOKUP($A19,'0512'!$A$1:'0512'!G$48,6,FALSE),IFERROR(VLOOKUP($C19,'0512'!$C$1:'0512'!G$48,4,FALSE),F19-D19))</f>
        <v>6</v>
      </c>
      <c r="K19" s="8">
        <f ca="1">G19-IFERROR(VLOOKUP($A19,'0512'!$A$1:'0512'!H$44,7,FALSE),IFERROR(VLOOKUP($C19,'0512'!$C$1:'0512'!H$44,5,FALSE),G19-E19))</f>
        <v>0</v>
      </c>
      <c r="L19" s="4">
        <f ca="1" t="shared" si="2"/>
        <v>0</v>
      </c>
    </row>
    <row r="20" s="2" customFormat="1" spans="1:13">
      <c r="A20" s="2" t="s">
        <v>28</v>
      </c>
      <c r="B20" s="2" t="s">
        <v>10</v>
      </c>
      <c r="C20" s="9">
        <v>45768</v>
      </c>
      <c r="D20" s="2">
        <v>12</v>
      </c>
      <c r="E20" s="2">
        <v>6</v>
      </c>
      <c r="F20" s="2">
        <v>228</v>
      </c>
      <c r="G20" s="2">
        <v>609</v>
      </c>
      <c r="H20" s="4">
        <f t="shared" si="0"/>
        <v>0.5</v>
      </c>
      <c r="I20" s="4">
        <f t="shared" si="1"/>
        <v>2.67105263157895</v>
      </c>
      <c r="J20" s="7">
        <f ca="1">F20-IFERROR(VLOOKUP($A20,'0512'!$A$1:'0512'!G$48,6,FALSE),IFERROR(VLOOKUP($C20,'0512'!$C$1:'0512'!G$48,4,FALSE),F20-D20))</f>
        <v>5</v>
      </c>
      <c r="K20" s="8">
        <f ca="1">G20-IFERROR(VLOOKUP($A20,'0512'!$A$1:'0512'!H$44,7,FALSE),IFERROR(VLOOKUP($C20,'0512'!$C$1:'0512'!H$44,5,FALSE),G20-E20))</f>
        <v>0</v>
      </c>
      <c r="L20" s="4">
        <f ca="1" t="shared" si="2"/>
        <v>0</v>
      </c>
      <c r="M20" s="2" t="s">
        <v>104</v>
      </c>
    </row>
    <row r="21" s="2" customFormat="1" spans="1:13">
      <c r="A21" s="2" t="s">
        <v>34</v>
      </c>
      <c r="B21" s="2" t="s">
        <v>10</v>
      </c>
      <c r="C21" s="9">
        <v>45765</v>
      </c>
      <c r="D21" s="2">
        <v>5</v>
      </c>
      <c r="E21" s="2">
        <v>6</v>
      </c>
      <c r="F21" s="2">
        <v>409</v>
      </c>
      <c r="G21" s="2">
        <v>458</v>
      </c>
      <c r="H21" s="4">
        <f t="shared" si="0"/>
        <v>1.2</v>
      </c>
      <c r="I21" s="4">
        <f t="shared" si="1"/>
        <v>1.119804400978</v>
      </c>
      <c r="J21" s="7">
        <f ca="1">F21-IFERROR(VLOOKUP($A21,'0512'!$A$1:'0512'!G$48,6,FALSE),IFERROR(VLOOKUP($C21,'0512'!$C$1:'0512'!G$48,4,FALSE),F21-D21))</f>
        <v>5</v>
      </c>
      <c r="K21" s="8">
        <f ca="1">G21-IFERROR(VLOOKUP($A21,'0512'!$A$1:'0512'!H$44,7,FALSE),IFERROR(VLOOKUP($C21,'0512'!$C$1:'0512'!H$44,5,FALSE),G21-E21))</f>
        <v>6</v>
      </c>
      <c r="L21" s="4">
        <f ca="1" t="shared" si="2"/>
        <v>1.2</v>
      </c>
      <c r="M21" s="2" t="s">
        <v>106</v>
      </c>
    </row>
    <row r="22" s="2" customFormat="1" spans="1:13">
      <c r="A22" s="2" t="s">
        <v>39</v>
      </c>
      <c r="B22" s="2" t="s">
        <v>10</v>
      </c>
      <c r="C22" s="9">
        <v>45763</v>
      </c>
      <c r="D22" s="2">
        <v>17</v>
      </c>
      <c r="E22" s="2">
        <v>16</v>
      </c>
      <c r="F22" s="2">
        <v>669</v>
      </c>
      <c r="G22" s="2">
        <v>386</v>
      </c>
      <c r="H22" s="4">
        <f t="shared" si="0"/>
        <v>0.941176470588235</v>
      </c>
      <c r="I22" s="4">
        <f t="shared" si="1"/>
        <v>0.576980568011958</v>
      </c>
      <c r="J22" s="7">
        <f ca="1">F22-IFERROR(VLOOKUP($A22,'0512'!$A$1:'0512'!G$48,6,FALSE),IFERROR(VLOOKUP($C22,'0512'!$C$1:'0512'!G$48,4,FALSE),F22-D22))</f>
        <v>4</v>
      </c>
      <c r="K22" s="8">
        <f ca="1">G22-IFERROR(VLOOKUP($A22,'0512'!$A$1:'0512'!H$44,7,FALSE),IFERROR(VLOOKUP($C22,'0512'!$C$1:'0512'!H$44,5,FALSE),G22-E22))</f>
        <v>0</v>
      </c>
      <c r="L22" s="4">
        <f ca="1" t="shared" si="2"/>
        <v>0</v>
      </c>
      <c r="M22" s="2" t="s">
        <v>90</v>
      </c>
    </row>
    <row r="23" s="2" customFormat="1" spans="1:13">
      <c r="A23" s="2" t="s">
        <v>42</v>
      </c>
      <c r="B23" s="2" t="s">
        <v>10</v>
      </c>
      <c r="C23" s="9">
        <v>45762</v>
      </c>
      <c r="D23" s="2">
        <v>25</v>
      </c>
      <c r="E23" s="2">
        <v>6</v>
      </c>
      <c r="F23" s="2">
        <v>628</v>
      </c>
      <c r="G23" s="2">
        <v>647</v>
      </c>
      <c r="H23" s="4">
        <f t="shared" si="0"/>
        <v>0.24</v>
      </c>
      <c r="I23" s="4">
        <f t="shared" si="1"/>
        <v>1.03025477707006</v>
      </c>
      <c r="J23" s="7">
        <f ca="1">F23-IFERROR(VLOOKUP($A23,'0512'!$A$1:'0512'!G$48,6,FALSE),IFERROR(VLOOKUP($C23,'0512'!$C$1:'0512'!G$48,4,FALSE),F23-D23))</f>
        <v>0</v>
      </c>
      <c r="K23" s="8">
        <f ca="1">G23-IFERROR(VLOOKUP($A23,'0512'!$A$1:'0512'!H$44,7,FALSE),IFERROR(VLOOKUP($C23,'0512'!$C$1:'0512'!H$44,5,FALSE),G23-E23))</f>
        <v>0</v>
      </c>
      <c r="L23" s="4">
        <f ca="1" t="shared" si="2"/>
        <v>0</v>
      </c>
      <c r="M23" s="2" t="s">
        <v>43</v>
      </c>
    </row>
    <row r="24" s="2" customFormat="1" spans="1:13">
      <c r="A24" s="2" t="s">
        <v>44</v>
      </c>
      <c r="B24" s="2" t="s">
        <v>10</v>
      </c>
      <c r="C24" s="9">
        <v>45761</v>
      </c>
      <c r="D24" s="2">
        <v>18</v>
      </c>
      <c r="E24" s="2">
        <v>32</v>
      </c>
      <c r="F24" s="2">
        <v>1075</v>
      </c>
      <c r="G24" s="2">
        <v>951</v>
      </c>
      <c r="H24" s="4">
        <f t="shared" si="0"/>
        <v>1.77777777777778</v>
      </c>
      <c r="I24" s="4">
        <f t="shared" si="1"/>
        <v>0.884651162790698</v>
      </c>
      <c r="J24" s="7">
        <f ca="1">F24-IFERROR(VLOOKUP($A24,'0512'!$A$1:'0512'!G$48,6,FALSE),IFERROR(VLOOKUP($C24,'0512'!$C$1:'0512'!G$48,4,FALSE),F24-D24))</f>
        <v>1</v>
      </c>
      <c r="K24" s="8">
        <f ca="1">G24-IFERROR(VLOOKUP($A24,'0512'!$A$1:'0512'!H$44,7,FALSE),IFERROR(VLOOKUP($C24,'0512'!$C$1:'0512'!H$44,5,FALSE),G24-E24))</f>
        <v>0</v>
      </c>
      <c r="L24" s="4">
        <f ca="1" t="shared" si="2"/>
        <v>0</v>
      </c>
      <c r="M24" s="2" t="s">
        <v>45</v>
      </c>
    </row>
    <row r="25" s="2" customFormat="1" spans="1:12">
      <c r="A25" s="2" t="s">
        <v>46</v>
      </c>
      <c r="B25" s="2" t="s">
        <v>10</v>
      </c>
      <c r="C25" s="9">
        <v>45757</v>
      </c>
      <c r="D25" s="2">
        <v>20</v>
      </c>
      <c r="E25" s="2">
        <v>6</v>
      </c>
      <c r="F25" s="2">
        <v>651</v>
      </c>
      <c r="G25" s="2">
        <v>769</v>
      </c>
      <c r="H25" s="4">
        <f t="shared" si="0"/>
        <v>0.3</v>
      </c>
      <c r="I25" s="4">
        <f t="shared" si="1"/>
        <v>1.18125960061444</v>
      </c>
      <c r="J25" s="7">
        <f ca="1">F25-IFERROR(VLOOKUP($A25,'0512'!$A$1:'0512'!G$48,6,FALSE),IFERROR(VLOOKUP($C25,'0512'!$C$1:'0512'!G$48,4,FALSE),F25-D25))</f>
        <v>0</v>
      </c>
      <c r="K25" s="8">
        <f ca="1">G25-IFERROR(VLOOKUP($A25,'0512'!$A$1:'0512'!H$44,7,FALSE),IFERROR(VLOOKUP($C25,'0512'!$C$1:'0512'!H$44,5,FALSE),G25-E25))</f>
        <v>0</v>
      </c>
      <c r="L25" s="4">
        <f ca="1" t="shared" si="2"/>
        <v>0</v>
      </c>
    </row>
    <row r="26" s="2" customFormat="1" spans="1:13">
      <c r="A26" s="2" t="s">
        <v>73</v>
      </c>
      <c r="B26" s="2" t="s">
        <v>10</v>
      </c>
      <c r="C26" s="9">
        <v>45755</v>
      </c>
      <c r="D26" s="2">
        <v>18</v>
      </c>
      <c r="E26" s="2">
        <v>10</v>
      </c>
      <c r="F26" s="2">
        <v>460</v>
      </c>
      <c r="G26" s="2">
        <v>521</v>
      </c>
      <c r="H26" s="4">
        <f t="shared" si="0"/>
        <v>0.555555555555556</v>
      </c>
      <c r="I26" s="4">
        <f t="shared" si="1"/>
        <v>1.13260869565217</v>
      </c>
      <c r="J26" s="7">
        <f ca="1">F26-IFERROR(VLOOKUP($A26,'0512'!$A$1:'0512'!G$48,6,FALSE),IFERROR(VLOOKUP($C26,'0512'!$C$1:'0512'!G$48,4,FALSE),F26-D26))</f>
        <v>2</v>
      </c>
      <c r="K26" s="8">
        <f ca="1">G26-IFERROR(VLOOKUP($A26,'0512'!$A$1:'0512'!H$44,7,FALSE),IFERROR(VLOOKUP($C26,'0512'!$C$1:'0512'!H$44,5,FALSE),G26-E26))</f>
        <v>0</v>
      </c>
      <c r="L26" s="4">
        <f ca="1" t="shared" si="2"/>
        <v>0</v>
      </c>
      <c r="M26" s="2" t="s">
        <v>74</v>
      </c>
    </row>
    <row r="27" s="2" customFormat="1" spans="1:13">
      <c r="A27" s="2" t="s">
        <v>96</v>
      </c>
      <c r="B27" s="2" t="s">
        <v>10</v>
      </c>
      <c r="C27" s="9">
        <v>45752</v>
      </c>
      <c r="D27" s="2">
        <v>43</v>
      </c>
      <c r="E27" s="2">
        <v>11</v>
      </c>
      <c r="F27" s="2">
        <v>9569</v>
      </c>
      <c r="G27" s="2">
        <v>1168</v>
      </c>
      <c r="H27" s="4">
        <f t="shared" si="0"/>
        <v>0.255813953488372</v>
      </c>
      <c r="I27" s="4">
        <f t="shared" si="1"/>
        <v>0.122060821402445</v>
      </c>
      <c r="J27" s="7">
        <f ca="1">F27-IFERROR(VLOOKUP($A27,'0512'!$A$1:'0512'!G$48,6,FALSE),IFERROR(VLOOKUP($C27,'0512'!$C$1:'0512'!G$48,4,FALSE),F27-D27))</f>
        <v>15</v>
      </c>
      <c r="K27" s="8">
        <f ca="1">G27-IFERROR(VLOOKUP($A27,'0512'!$A$1:'0512'!H$44,7,FALSE),IFERROR(VLOOKUP($C27,'0512'!$C$1:'0512'!H$44,5,FALSE),G27-E27))</f>
        <v>0</v>
      </c>
      <c r="L27" s="4">
        <f ca="1" t="shared" si="2"/>
        <v>0</v>
      </c>
      <c r="M27" s="2" t="s">
        <v>97</v>
      </c>
    </row>
    <row r="28" s="2" customFormat="1" spans="1:13">
      <c r="A28" s="2" t="s">
        <v>52</v>
      </c>
      <c r="B28" s="2" t="s">
        <v>10</v>
      </c>
      <c r="C28" s="9">
        <v>45743</v>
      </c>
      <c r="D28" s="2">
        <v>154</v>
      </c>
      <c r="E28" s="2">
        <v>50</v>
      </c>
      <c r="F28" s="2">
        <v>5070</v>
      </c>
      <c r="G28" s="2">
        <v>2046</v>
      </c>
      <c r="H28" s="4">
        <f t="shared" si="0"/>
        <v>0.324675324675325</v>
      </c>
      <c r="I28" s="4">
        <f t="shared" si="1"/>
        <v>0.403550295857988</v>
      </c>
      <c r="J28" s="7">
        <f ca="1">F28-IFERROR(VLOOKUP($A28,'0512'!$A$1:'0512'!G$48,6,FALSE),IFERROR(VLOOKUP($C28,'0512'!$C$1:'0512'!G$48,4,FALSE),F28-D28))</f>
        <v>32</v>
      </c>
      <c r="K28" s="8">
        <f ca="1">G28-IFERROR(VLOOKUP($A28,'0512'!$A$1:'0512'!H$44,7,FALSE),IFERROR(VLOOKUP($C28,'0512'!$C$1:'0512'!H$44,5,FALSE),G28-E28))</f>
        <v>25</v>
      </c>
      <c r="L28" s="4">
        <f ca="1" t="shared" si="2"/>
        <v>0.78125</v>
      </c>
      <c r="M28" s="2" t="s">
        <v>53</v>
      </c>
    </row>
    <row r="29" s="2" customFormat="1" spans="1:13">
      <c r="A29" s="2" t="s">
        <v>54</v>
      </c>
      <c r="B29" s="2" t="s">
        <v>10</v>
      </c>
      <c r="C29" s="9">
        <v>45741</v>
      </c>
      <c r="D29" s="2">
        <v>82</v>
      </c>
      <c r="E29" s="2">
        <v>5</v>
      </c>
      <c r="F29" s="2">
        <v>1331</v>
      </c>
      <c r="G29" s="2">
        <v>692</v>
      </c>
      <c r="H29" s="4">
        <f t="shared" si="0"/>
        <v>0.0609756097560976</v>
      </c>
      <c r="I29" s="4">
        <f t="shared" si="1"/>
        <v>0.519909842223892</v>
      </c>
      <c r="J29" s="7">
        <f ca="1">F29-IFERROR(VLOOKUP($A29,'0512'!$A$1:'0512'!G$48,6,FALSE),IFERROR(VLOOKUP($C29,'0512'!$C$1:'0512'!G$48,4,FALSE),F29-D29))</f>
        <v>4</v>
      </c>
      <c r="K29" s="8">
        <f ca="1">G29-IFERROR(VLOOKUP($A29,'0512'!$A$1:'0512'!H$44,7,FALSE),IFERROR(VLOOKUP($C29,'0512'!$C$1:'0512'!H$44,5,FALSE),G29-E29))</f>
        <v>0</v>
      </c>
      <c r="L29" s="4">
        <f ca="1" t="shared" si="2"/>
        <v>0</v>
      </c>
      <c r="M29" s="13" t="s">
        <v>55</v>
      </c>
    </row>
    <row r="30" s="2" customFormat="1" spans="1:14">
      <c r="A30" s="2" t="s">
        <v>85</v>
      </c>
      <c r="B30" s="2" t="s">
        <v>10</v>
      </c>
      <c r="C30" s="9">
        <v>45739</v>
      </c>
      <c r="D30" s="2">
        <v>26</v>
      </c>
      <c r="E30" s="2">
        <v>10</v>
      </c>
      <c r="F30" s="2">
        <v>302</v>
      </c>
      <c r="G30" s="2">
        <v>664</v>
      </c>
      <c r="H30" s="4">
        <f t="shared" si="0"/>
        <v>0.384615384615385</v>
      </c>
      <c r="I30" s="4">
        <f t="shared" si="1"/>
        <v>2.19867549668874</v>
      </c>
      <c r="J30" s="7">
        <f ca="1">F30-IFERROR(VLOOKUP($A30,'0512'!$A$1:'0512'!G$48,6,FALSE),IFERROR(VLOOKUP($C30,'0512'!$C$1:'0512'!G$48,4,FALSE),F30-D30))</f>
        <v>0</v>
      </c>
      <c r="K30" s="8">
        <f ca="1">G30-IFERROR(VLOOKUP($A30,'0512'!$A$1:'0512'!H$44,7,FALSE),IFERROR(VLOOKUP($C30,'0512'!$C$1:'0512'!H$44,5,FALSE),G30-E30))</f>
        <v>0</v>
      </c>
      <c r="L30" s="4">
        <f ca="1" t="shared" si="2"/>
        <v>0</v>
      </c>
      <c r="M30" s="13" t="s">
        <v>86</v>
      </c>
      <c r="N30" s="2" t="s">
        <v>87</v>
      </c>
    </row>
    <row r="31" s="2" customFormat="1" spans="1:13">
      <c r="A31" s="2" t="s">
        <v>56</v>
      </c>
      <c r="B31" s="2" t="s">
        <v>10</v>
      </c>
      <c r="C31" s="9">
        <v>45734</v>
      </c>
      <c r="D31" s="2">
        <v>14</v>
      </c>
      <c r="E31" s="2">
        <v>5</v>
      </c>
      <c r="F31" s="2">
        <v>518</v>
      </c>
      <c r="G31" s="2">
        <v>680</v>
      </c>
      <c r="H31" s="4">
        <f t="shared" si="0"/>
        <v>0.357142857142857</v>
      </c>
      <c r="I31" s="4">
        <f t="shared" si="1"/>
        <v>1.31274131274131</v>
      </c>
      <c r="J31" s="7">
        <f ca="1">F31-IFERROR(VLOOKUP($A31,'0512'!$A$1:'0512'!G$48,6,FALSE),IFERROR(VLOOKUP($C31,'0512'!$C$1:'0512'!G$48,4,FALSE),F31-D31))</f>
        <v>2</v>
      </c>
      <c r="K31" s="8">
        <f ca="1">G31-IFERROR(VLOOKUP($A31,'0512'!$A$1:'0512'!H$44,7,FALSE),IFERROR(VLOOKUP($C31,'0512'!$C$1:'0512'!H$44,5,FALSE),G31-E31))</f>
        <v>0</v>
      </c>
      <c r="L31" s="4">
        <f ca="1" t="shared" si="2"/>
        <v>0</v>
      </c>
      <c r="M31" s="2" t="s">
        <v>79</v>
      </c>
    </row>
    <row r="32" s="2" customFormat="1" spans="1:14">
      <c r="A32" s="2" t="s">
        <v>98</v>
      </c>
      <c r="B32" s="2" t="s">
        <v>10</v>
      </c>
      <c r="C32" s="9">
        <v>45731</v>
      </c>
      <c r="D32" s="2">
        <v>75</v>
      </c>
      <c r="E32" s="2">
        <v>334</v>
      </c>
      <c r="F32" s="2">
        <v>285</v>
      </c>
      <c r="G32" s="2">
        <v>671</v>
      </c>
      <c r="H32" s="4">
        <f t="shared" si="0"/>
        <v>4.45333333333333</v>
      </c>
      <c r="I32" s="4">
        <f t="shared" si="1"/>
        <v>2.35438596491228</v>
      </c>
      <c r="J32" s="7">
        <f ca="1">F32-IFERROR(VLOOKUP($A32,'0512'!$A$1:'0512'!G$48,6,FALSE),IFERROR(VLOOKUP($C32,'0512'!$C$1:'0512'!G$48,4,FALSE),F32-D32))</f>
        <v>18</v>
      </c>
      <c r="K32" s="8">
        <f ca="1">G32-IFERROR(VLOOKUP($A32,'0512'!$A$1:'0512'!H$44,7,FALSE),IFERROR(VLOOKUP($C32,'0512'!$C$1:'0512'!H$44,5,FALSE),G32-E32))</f>
        <v>108</v>
      </c>
      <c r="L32" s="4">
        <f ca="1" t="shared" si="2"/>
        <v>6</v>
      </c>
      <c r="M32" s="2" t="s">
        <v>99</v>
      </c>
      <c r="N32" s="2" t="s">
        <v>100</v>
      </c>
    </row>
    <row r="33" s="2" customFormat="1" spans="1:13">
      <c r="A33" s="2" t="s">
        <v>75</v>
      </c>
      <c r="B33" s="2" t="s">
        <v>10</v>
      </c>
      <c r="C33" s="9">
        <v>45720</v>
      </c>
      <c r="D33" s="2">
        <v>11</v>
      </c>
      <c r="E33" s="2">
        <v>6</v>
      </c>
      <c r="F33" s="2">
        <v>385</v>
      </c>
      <c r="G33" s="2">
        <v>281</v>
      </c>
      <c r="H33" s="4">
        <f t="shared" si="0"/>
        <v>0.545454545454545</v>
      </c>
      <c r="I33" s="4">
        <f t="shared" si="1"/>
        <v>0.72987012987013</v>
      </c>
      <c r="J33" s="7">
        <f ca="1">F33-IFERROR(VLOOKUP($A33,'0512'!$A$1:'0512'!G$48,6,FALSE),IFERROR(VLOOKUP($C33,'0512'!$C$1:'0512'!G$48,4,FALSE),F33-D33))</f>
        <v>3</v>
      </c>
      <c r="K33" s="8">
        <f ca="1">G33-IFERROR(VLOOKUP($A33,'0512'!$A$1:'0512'!H$44,7,FALSE),IFERROR(VLOOKUP($C33,'0512'!$C$1:'0512'!H$44,5,FALSE),G33-E33))</f>
        <v>0</v>
      </c>
      <c r="L33" s="4">
        <f ca="1" t="shared" si="2"/>
        <v>0</v>
      </c>
      <c r="M33" s="13" t="s">
        <v>76</v>
      </c>
    </row>
    <row r="34" s="2" customFormat="1" spans="1:13">
      <c r="A34" s="2" t="s">
        <v>91</v>
      </c>
      <c r="B34" s="2" t="s">
        <v>10</v>
      </c>
      <c r="C34" s="9">
        <v>45474</v>
      </c>
      <c r="D34" s="2">
        <v>6</v>
      </c>
      <c r="E34" s="2">
        <v>1</v>
      </c>
      <c r="F34" s="2">
        <v>479</v>
      </c>
      <c r="G34" s="2">
        <v>37</v>
      </c>
      <c r="H34" s="4">
        <f t="shared" si="0"/>
        <v>0.166666666666667</v>
      </c>
      <c r="I34" s="4">
        <f t="shared" si="1"/>
        <v>0.0772442588726513</v>
      </c>
      <c r="J34" s="7">
        <f ca="1">F34-IFERROR(VLOOKUP($A34,'0512'!$A$1:'0512'!G$48,6,FALSE),IFERROR(VLOOKUP($C34,'0512'!$C$1:'0512'!G$48,4,FALSE),F34-D34))</f>
        <v>0</v>
      </c>
      <c r="K34" s="8">
        <f ca="1">G34-IFERROR(VLOOKUP($A34,'0512'!$A$1:'0512'!H$44,7,FALSE),IFERROR(VLOOKUP($C34,'0512'!$C$1:'0512'!H$44,5,FALSE),G34-E34))</f>
        <v>0</v>
      </c>
      <c r="L34" s="4">
        <f ca="1" t="shared" si="2"/>
        <v>0</v>
      </c>
      <c r="M34" s="2" t="s">
        <v>92</v>
      </c>
    </row>
    <row r="35" spans="11:11">
      <c r="K35" s="2">
        <f ca="1">SUM(K2:K34)</f>
        <v>889</v>
      </c>
    </row>
    <row r="45" spans="13:14">
      <c r="M45" s="2" t="s">
        <v>102</v>
      </c>
      <c r="N45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7"/>
  <sheetViews>
    <sheetView workbookViewId="0">
      <selection activeCell="A3" sqref="$A3:$XFD3"/>
    </sheetView>
  </sheetViews>
  <sheetFormatPr defaultColWidth="10" defaultRowHeight="14.4"/>
  <cols>
    <col min="1" max="1" width="47.2222222222222" style="2" customWidth="1"/>
    <col min="2" max="2" width="0.222222222222222" style="2" customWidth="1"/>
    <col min="3" max="3" width="10" style="2"/>
    <col min="4" max="7" width="5.66666666666667" style="2" customWidth="1"/>
    <col min="8" max="9" width="6.77777777777778" style="2" customWidth="1"/>
    <col min="10" max="10" width="7.66666666666667" style="2" customWidth="1"/>
    <col min="11" max="12" width="6.77777777777778" style="2" customWidth="1"/>
    <col min="13" max="13" width="18.6666666666667" style="2" customWidth="1"/>
    <col min="14" max="14" width="19.6666666666667" style="2" customWidth="1"/>
    <col min="15" max="16384" width="10" style="2"/>
  </cols>
  <sheetData>
    <row r="1" s="2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J1" s="5" t="s">
        <v>7</v>
      </c>
      <c r="K1" s="5" t="s">
        <v>8</v>
      </c>
    </row>
    <row r="2" s="2" customFormat="1" spans="1:12">
      <c r="A2" s="2" t="s">
        <v>107</v>
      </c>
      <c r="B2" s="2" t="s">
        <v>10</v>
      </c>
      <c r="C2" s="9">
        <v>45790</v>
      </c>
      <c r="D2" s="2">
        <v>147</v>
      </c>
      <c r="E2" s="2">
        <v>204</v>
      </c>
      <c r="F2" s="2">
        <v>147</v>
      </c>
      <c r="G2" s="2">
        <v>204</v>
      </c>
      <c r="H2" s="4">
        <f>E2/D2</f>
        <v>1.38775510204082</v>
      </c>
      <c r="I2" s="4">
        <f>G2/F2</f>
        <v>1.38775510204082</v>
      </c>
      <c r="J2" s="7">
        <f ca="1">F2-IFERROR(VLOOKUP($A2,'0513'!$A$1:'0513'!G$48,6,FALSE),IFERROR(VLOOKUP($C2,'0513'!$C$1:'0513'!G$48,4,FALSE),F2-D2))</f>
        <v>147</v>
      </c>
      <c r="K2" s="8">
        <f ca="1">G2-IFERROR(VLOOKUP($A2,'0513'!$A$1:'0513'!H$44,7,FALSE),IFERROR(VLOOKUP($C2,'0513'!$C$1:'0513'!H$44,5,FALSE),G2-E2))</f>
        <v>204</v>
      </c>
      <c r="L2" s="4">
        <f ca="1">IFERROR(K2/J2,)</f>
        <v>1.38775510204082</v>
      </c>
    </row>
    <row r="3" s="2" customFormat="1" spans="1:13">
      <c r="A3" s="2" t="s">
        <v>108</v>
      </c>
      <c r="B3" s="2" t="s">
        <v>10</v>
      </c>
      <c r="C3" s="9">
        <v>45790</v>
      </c>
      <c r="D3" s="2">
        <v>54</v>
      </c>
      <c r="E3" s="2">
        <v>256</v>
      </c>
      <c r="F3" s="2">
        <v>54</v>
      </c>
      <c r="G3" s="2">
        <v>256</v>
      </c>
      <c r="H3" s="4">
        <f t="shared" ref="H3:H36" si="0">E3/D3</f>
        <v>4.74074074074074</v>
      </c>
      <c r="I3" s="4">
        <f t="shared" ref="I3:I36" si="1">G3/F3</f>
        <v>4.74074074074074</v>
      </c>
      <c r="J3" s="7">
        <f ca="1">F3-IFERROR(VLOOKUP($A3,'0513'!$A$1:'0513'!G$48,6,FALSE),IFERROR(VLOOKUP($C3,'0513'!$C$1:'0513'!G$48,4,FALSE),F3-D3))</f>
        <v>54</v>
      </c>
      <c r="K3" s="8">
        <f ca="1">G3-IFERROR(VLOOKUP($A3,'0513'!$A$1:'0513'!H$44,7,FALSE),IFERROR(VLOOKUP($C3,'0513'!$C$1:'0513'!H$44,5,FALSE),G3-E3))</f>
        <v>256</v>
      </c>
      <c r="L3" s="4">
        <f ca="1" t="shared" ref="L3:L36" si="2">IFERROR(K3/J3,)</f>
        <v>4.74074074074074</v>
      </c>
      <c r="M3" s="2" t="s">
        <v>109</v>
      </c>
    </row>
    <row r="4" s="2" customFormat="1" spans="1:12">
      <c r="A4" s="2" t="s">
        <v>105</v>
      </c>
      <c r="B4" s="2" t="s">
        <v>10</v>
      </c>
      <c r="C4" s="9">
        <v>45789</v>
      </c>
      <c r="D4" s="2">
        <v>135</v>
      </c>
      <c r="E4" s="2">
        <v>455</v>
      </c>
      <c r="F4" s="2">
        <v>135</v>
      </c>
      <c r="G4" s="2">
        <v>455</v>
      </c>
      <c r="H4" s="4">
        <f t="shared" si="0"/>
        <v>3.37037037037037</v>
      </c>
      <c r="I4" s="4">
        <f t="shared" si="1"/>
        <v>3.37037037037037</v>
      </c>
      <c r="J4" s="7">
        <f ca="1">F4-IFERROR(VLOOKUP($A4,'0513'!$A$1:'0513'!G$48,6,FALSE),IFERROR(VLOOKUP($C4,'0513'!$C$1:'0513'!G$48,4,FALSE),F4-D4))</f>
        <v>50</v>
      </c>
      <c r="K4" s="8">
        <f ca="1">G4-IFERROR(VLOOKUP($A4,'0513'!$A$1:'0513'!H$44,7,FALSE),IFERROR(VLOOKUP($C4,'0513'!$C$1:'0513'!H$44,5,FALSE),G4-E4))</f>
        <v>148</v>
      </c>
      <c r="L4" s="4">
        <f ca="1" t="shared" si="2"/>
        <v>2.96</v>
      </c>
    </row>
    <row r="5" s="2" customFormat="1" spans="1:12">
      <c r="A5" s="2" t="s">
        <v>103</v>
      </c>
      <c r="B5" s="2" t="s">
        <v>10</v>
      </c>
      <c r="C5" s="9">
        <v>45788</v>
      </c>
      <c r="D5" s="2">
        <v>209</v>
      </c>
      <c r="E5" s="2">
        <v>662</v>
      </c>
      <c r="F5" s="2">
        <v>209</v>
      </c>
      <c r="G5" s="2">
        <v>662</v>
      </c>
      <c r="H5" s="4">
        <f t="shared" si="0"/>
        <v>3.16746411483254</v>
      </c>
      <c r="I5" s="4">
        <f t="shared" si="1"/>
        <v>3.16746411483254</v>
      </c>
      <c r="J5" s="7">
        <f ca="1">F5-IFERROR(VLOOKUP($A5,'0513'!$A$1:'0513'!G$48,6,FALSE),IFERROR(VLOOKUP($C5,'0513'!$C$1:'0513'!G$48,4,FALSE),F5-D5))</f>
        <v>78</v>
      </c>
      <c r="K5" s="8">
        <f ca="1">G5-IFERROR(VLOOKUP($A5,'0513'!$A$1:'0513'!H$44,7,FALSE),IFERROR(VLOOKUP($C5,'0513'!$C$1:'0513'!H$44,5,FALSE),G5-E5))</f>
        <v>51</v>
      </c>
      <c r="L5" s="4">
        <f ca="1" t="shared" si="2"/>
        <v>0.653846153846154</v>
      </c>
    </row>
    <row r="6" s="2" customFormat="1" spans="1:12">
      <c r="A6" s="2" t="s">
        <v>101</v>
      </c>
      <c r="B6" s="2" t="s">
        <v>10</v>
      </c>
      <c r="C6" s="9">
        <v>45787</v>
      </c>
      <c r="D6" s="2">
        <v>156</v>
      </c>
      <c r="E6" s="2">
        <v>753</v>
      </c>
      <c r="F6" s="2">
        <v>156</v>
      </c>
      <c r="G6" s="2">
        <v>753</v>
      </c>
      <c r="H6" s="4">
        <f t="shared" si="0"/>
        <v>4.82692307692308</v>
      </c>
      <c r="I6" s="4">
        <f t="shared" si="1"/>
        <v>4.82692307692308</v>
      </c>
      <c r="J6" s="7">
        <f ca="1">F6-IFERROR(VLOOKUP($A6,'0513'!$A$1:'0513'!G$48,6,FALSE),IFERROR(VLOOKUP($C6,'0513'!$C$1:'0513'!G$48,4,FALSE),F6-D6))</f>
        <v>12</v>
      </c>
      <c r="K6" s="8">
        <f ca="1">G6-IFERROR(VLOOKUP($A6,'0513'!$A$1:'0513'!H$44,7,FALSE),IFERROR(VLOOKUP($C6,'0513'!$C$1:'0513'!H$44,5,FALSE),G6-E6))</f>
        <v>12</v>
      </c>
      <c r="L6" s="4">
        <f ca="1" t="shared" si="2"/>
        <v>1</v>
      </c>
    </row>
    <row r="7" s="2" customFormat="1" spans="1:13">
      <c r="A7" s="2" t="s">
        <v>93</v>
      </c>
      <c r="B7" s="2" t="s">
        <v>10</v>
      </c>
      <c r="C7" s="9">
        <v>45786</v>
      </c>
      <c r="D7" s="2">
        <v>286</v>
      </c>
      <c r="E7" s="2">
        <v>281</v>
      </c>
      <c r="F7" s="2">
        <v>286</v>
      </c>
      <c r="G7" s="2">
        <v>281</v>
      </c>
      <c r="H7" s="4">
        <f t="shared" si="0"/>
        <v>0.982517482517482</v>
      </c>
      <c r="I7" s="4">
        <f t="shared" si="1"/>
        <v>0.982517482517482</v>
      </c>
      <c r="J7" s="7">
        <f ca="1">F7-IFERROR(VLOOKUP($A7,'0513'!$A$1:'0513'!G$48,6,FALSE),IFERROR(VLOOKUP($C7,'0513'!$C$1:'0513'!G$48,4,FALSE),F7-D7))</f>
        <v>16</v>
      </c>
      <c r="K7" s="8">
        <f ca="1">G7-IFERROR(VLOOKUP($A7,'0513'!$A$1:'0513'!H$44,7,FALSE),IFERROR(VLOOKUP($C7,'0513'!$C$1:'0513'!H$44,5,FALSE),G7-E7))</f>
        <v>0</v>
      </c>
      <c r="L7" s="4">
        <f ca="1" t="shared" si="2"/>
        <v>0</v>
      </c>
      <c r="M7" s="2" t="s">
        <v>94</v>
      </c>
    </row>
    <row r="8" s="2" customFormat="1" spans="1:12">
      <c r="A8" s="2" t="s">
        <v>95</v>
      </c>
      <c r="B8" s="2" t="s">
        <v>10</v>
      </c>
      <c r="C8" s="9">
        <v>45786</v>
      </c>
      <c r="D8" s="2">
        <v>352</v>
      </c>
      <c r="E8" s="2">
        <v>357</v>
      </c>
      <c r="F8" s="2">
        <v>352</v>
      </c>
      <c r="G8" s="2">
        <v>357</v>
      </c>
      <c r="H8" s="4">
        <f t="shared" si="0"/>
        <v>1.01420454545455</v>
      </c>
      <c r="I8" s="4">
        <f t="shared" si="1"/>
        <v>1.01420454545455</v>
      </c>
      <c r="J8" s="7">
        <f ca="1">F8-IFERROR(VLOOKUP($A8,'0513'!$A$1:'0513'!G$48,6,FALSE),IFERROR(VLOOKUP($C8,'0513'!$C$1:'0513'!G$48,4,FALSE),F8-D8))</f>
        <v>9</v>
      </c>
      <c r="K8" s="8">
        <f ca="1">G8-IFERROR(VLOOKUP($A8,'0513'!$A$1:'0513'!H$44,7,FALSE),IFERROR(VLOOKUP($C8,'0513'!$C$1:'0513'!H$44,5,FALSE),G8-E8))</f>
        <v>0</v>
      </c>
      <c r="L8" s="4">
        <f ca="1" t="shared" si="2"/>
        <v>0</v>
      </c>
    </row>
    <row r="9" s="2" customFormat="1" spans="1:12">
      <c r="A9" s="2" t="s">
        <v>88</v>
      </c>
      <c r="B9" s="2" t="s">
        <v>10</v>
      </c>
      <c r="C9" s="9">
        <v>45785</v>
      </c>
      <c r="D9" s="2">
        <v>301</v>
      </c>
      <c r="E9" s="2">
        <v>195</v>
      </c>
      <c r="F9" s="2">
        <v>301</v>
      </c>
      <c r="G9" s="2">
        <v>195</v>
      </c>
      <c r="H9" s="4">
        <f t="shared" si="0"/>
        <v>0.647840531561462</v>
      </c>
      <c r="I9" s="4">
        <f t="shared" si="1"/>
        <v>0.647840531561462</v>
      </c>
      <c r="J9" s="7">
        <f ca="1">F9-IFERROR(VLOOKUP($A9,'0513'!$A$1:'0513'!G$48,6,FALSE),IFERROR(VLOOKUP($C9,'0513'!$C$1:'0513'!G$48,4,FALSE),F9-D9))</f>
        <v>4</v>
      </c>
      <c r="K9" s="8">
        <f ca="1">G9-IFERROR(VLOOKUP($A9,'0513'!$A$1:'0513'!H$44,7,FALSE),IFERROR(VLOOKUP($C9,'0513'!$C$1:'0513'!H$44,5,FALSE),G9-E9))</f>
        <v>0</v>
      </c>
      <c r="L9" s="4">
        <f ca="1" t="shared" si="2"/>
        <v>0</v>
      </c>
    </row>
    <row r="10" s="2" customFormat="1" spans="1:12">
      <c r="A10" s="2" t="s">
        <v>83</v>
      </c>
      <c r="B10" s="2" t="s">
        <v>10</v>
      </c>
      <c r="C10" s="9">
        <v>45784</v>
      </c>
      <c r="D10" s="2">
        <v>561</v>
      </c>
      <c r="E10" s="2">
        <v>622</v>
      </c>
      <c r="F10" s="2">
        <v>561</v>
      </c>
      <c r="G10" s="2">
        <v>622</v>
      </c>
      <c r="H10" s="4">
        <f t="shared" si="0"/>
        <v>1.10873440285205</v>
      </c>
      <c r="I10" s="4">
        <f t="shared" si="1"/>
        <v>1.10873440285205</v>
      </c>
      <c r="J10" s="7">
        <f ca="1">F10-IFERROR(VLOOKUP($A10,'0513'!$A$1:'0513'!G$48,6,FALSE),IFERROR(VLOOKUP($C10,'0513'!$C$1:'0513'!G$48,4,FALSE),F10-D10))</f>
        <v>24</v>
      </c>
      <c r="K10" s="8">
        <f ca="1">G10-IFERROR(VLOOKUP($A10,'0513'!$A$1:'0513'!H$44,7,FALSE),IFERROR(VLOOKUP($C10,'0513'!$C$1:'0513'!H$44,5,FALSE),G10-E10))</f>
        <v>0</v>
      </c>
      <c r="L10" s="4">
        <f ca="1" t="shared" si="2"/>
        <v>0</v>
      </c>
    </row>
    <row r="11" s="2" customFormat="1" spans="1:12">
      <c r="A11" s="2" t="s">
        <v>80</v>
      </c>
      <c r="B11" s="2" t="s">
        <v>10</v>
      </c>
      <c r="C11" s="9">
        <v>45783</v>
      </c>
      <c r="D11" s="2">
        <v>135</v>
      </c>
      <c r="E11" s="2">
        <v>102</v>
      </c>
      <c r="F11" s="2">
        <v>217</v>
      </c>
      <c r="G11" s="2">
        <v>216</v>
      </c>
      <c r="H11" s="4">
        <f t="shared" si="0"/>
        <v>0.755555555555556</v>
      </c>
      <c r="I11" s="4">
        <f t="shared" si="1"/>
        <v>0.995391705069124</v>
      </c>
      <c r="J11" s="7">
        <f ca="1">F11-IFERROR(VLOOKUP($A11,'0513'!$A$1:'0513'!G$48,6,FALSE),IFERROR(VLOOKUP($C11,'0513'!$C$1:'0513'!G$48,4,FALSE),F11-D11))</f>
        <v>12</v>
      </c>
      <c r="K11" s="8">
        <f ca="1">G11-IFERROR(VLOOKUP($A11,'0513'!$A$1:'0513'!H$44,7,FALSE),IFERROR(VLOOKUP($C11,'0513'!$C$1:'0513'!H$44,5,FALSE),G11-E11))</f>
        <v>0</v>
      </c>
      <c r="L11" s="4">
        <f ca="1" t="shared" si="2"/>
        <v>0</v>
      </c>
    </row>
    <row r="12" s="2" customFormat="1" spans="1:12">
      <c r="A12" s="2" t="s">
        <v>81</v>
      </c>
      <c r="B12" s="2" t="s">
        <v>10</v>
      </c>
      <c r="C12" s="9">
        <v>45783</v>
      </c>
      <c r="D12" s="2">
        <v>56</v>
      </c>
      <c r="E12" s="2">
        <v>64</v>
      </c>
      <c r="F12" s="2">
        <v>145</v>
      </c>
      <c r="G12" s="2">
        <v>209</v>
      </c>
      <c r="H12" s="4">
        <f t="shared" si="0"/>
        <v>1.14285714285714</v>
      </c>
      <c r="I12" s="4">
        <f t="shared" si="1"/>
        <v>1.44137931034483</v>
      </c>
      <c r="J12" s="7">
        <f ca="1">F12-IFERROR(VLOOKUP($A12,'0513'!$A$1:'0513'!G$48,6,FALSE),IFERROR(VLOOKUP($C12,'0513'!$C$1:'0513'!G$48,4,FALSE),F12-D12))</f>
        <v>0</v>
      </c>
      <c r="K12" s="8">
        <f ca="1">G12-IFERROR(VLOOKUP($A12,'0513'!$A$1:'0513'!H$44,7,FALSE),IFERROR(VLOOKUP($C12,'0513'!$C$1:'0513'!H$44,5,FALSE),G12-E12))</f>
        <v>0</v>
      </c>
      <c r="L12" s="4">
        <f ca="1" t="shared" si="2"/>
        <v>0</v>
      </c>
    </row>
    <row r="13" s="2" customFormat="1" spans="1:12">
      <c r="A13" s="2" t="s">
        <v>77</v>
      </c>
      <c r="B13" s="2" t="s">
        <v>10</v>
      </c>
      <c r="C13" s="9">
        <v>45782</v>
      </c>
      <c r="D13" s="2">
        <v>160</v>
      </c>
      <c r="E13" s="2">
        <v>37</v>
      </c>
      <c r="F13" s="2">
        <v>357</v>
      </c>
      <c r="G13" s="2">
        <v>220</v>
      </c>
      <c r="H13" s="4">
        <f t="shared" si="0"/>
        <v>0.23125</v>
      </c>
      <c r="I13" s="4">
        <f t="shared" si="1"/>
        <v>0.61624649859944</v>
      </c>
      <c r="J13" s="7">
        <f ca="1">F13-IFERROR(VLOOKUP($A13,'0513'!$A$1:'0513'!G$48,6,FALSE),IFERROR(VLOOKUP($C13,'0513'!$C$1:'0513'!G$48,4,FALSE),F13-D13))</f>
        <v>8</v>
      </c>
      <c r="K13" s="8">
        <f ca="1">G13-IFERROR(VLOOKUP($A13,'0513'!$A$1:'0513'!H$44,7,FALSE),IFERROR(VLOOKUP($C13,'0513'!$C$1:'0513'!H$44,5,FALSE),G13-E13))</f>
        <v>4</v>
      </c>
      <c r="L13" s="4">
        <f ca="1" t="shared" si="2"/>
        <v>0.5</v>
      </c>
    </row>
    <row r="14" s="2" customFormat="1" spans="1:12">
      <c r="A14" s="2" t="s">
        <v>72</v>
      </c>
      <c r="B14" s="2" t="s">
        <v>10</v>
      </c>
      <c r="C14" s="9">
        <v>45781</v>
      </c>
      <c r="D14" s="2">
        <v>148</v>
      </c>
      <c r="E14" s="2">
        <v>113</v>
      </c>
      <c r="F14" s="2">
        <v>317</v>
      </c>
      <c r="G14" s="2">
        <v>659</v>
      </c>
      <c r="H14" s="4">
        <f t="shared" si="0"/>
        <v>0.763513513513513</v>
      </c>
      <c r="I14" s="4">
        <f t="shared" si="1"/>
        <v>2.0788643533123</v>
      </c>
      <c r="J14" s="7">
        <f ca="1">F14-IFERROR(VLOOKUP($A14,'0513'!$A$1:'0513'!G$48,6,FALSE),IFERROR(VLOOKUP($C14,'0513'!$C$1:'0513'!G$48,4,FALSE),F14-D14))</f>
        <v>7</v>
      </c>
      <c r="K14" s="8">
        <f ca="1">G14-IFERROR(VLOOKUP($A14,'0513'!$A$1:'0513'!H$44,7,FALSE),IFERROR(VLOOKUP($C14,'0513'!$C$1:'0513'!H$44,5,FALSE),G14-E14))</f>
        <v>0</v>
      </c>
      <c r="L14" s="4">
        <f ca="1" t="shared" si="2"/>
        <v>0</v>
      </c>
    </row>
    <row r="15" s="2" customFormat="1" spans="1:12">
      <c r="A15" s="2" t="s">
        <v>69</v>
      </c>
      <c r="B15" s="2" t="s">
        <v>10</v>
      </c>
      <c r="C15" s="9">
        <v>45780</v>
      </c>
      <c r="D15" s="2">
        <v>163</v>
      </c>
      <c r="E15" s="2">
        <v>24</v>
      </c>
      <c r="F15" s="2">
        <v>1255</v>
      </c>
      <c r="G15" s="2">
        <v>537</v>
      </c>
      <c r="H15" s="4">
        <f t="shared" si="0"/>
        <v>0.147239263803681</v>
      </c>
      <c r="I15" s="4">
        <f t="shared" si="1"/>
        <v>0.427888446215139</v>
      </c>
      <c r="J15" s="7">
        <f ca="1">F15-IFERROR(VLOOKUP($A15,'0513'!$A$1:'0513'!G$48,6,FALSE),IFERROR(VLOOKUP($C15,'0513'!$C$1:'0513'!G$48,4,FALSE),F15-D15))</f>
        <v>25</v>
      </c>
      <c r="K15" s="8">
        <f ca="1">G15-IFERROR(VLOOKUP($A15,'0513'!$A$1:'0513'!H$44,7,FALSE),IFERROR(VLOOKUP($C15,'0513'!$C$1:'0513'!H$44,5,FALSE),G15-E15))</f>
        <v>0</v>
      </c>
      <c r="L15" s="4">
        <f ca="1" t="shared" si="2"/>
        <v>0</v>
      </c>
    </row>
    <row r="16" s="2" customFormat="1" spans="1:12">
      <c r="A16" s="2" t="s">
        <v>68</v>
      </c>
      <c r="B16" s="2" t="s">
        <v>10</v>
      </c>
      <c r="C16" s="9">
        <v>45779</v>
      </c>
      <c r="D16" s="2">
        <v>41</v>
      </c>
      <c r="E16" s="2">
        <v>20</v>
      </c>
      <c r="F16" s="2">
        <v>207</v>
      </c>
      <c r="G16" s="2">
        <v>159</v>
      </c>
      <c r="H16" s="4">
        <f t="shared" si="0"/>
        <v>0.48780487804878</v>
      </c>
      <c r="I16" s="4">
        <f t="shared" si="1"/>
        <v>0.768115942028985</v>
      </c>
      <c r="J16" s="7">
        <f ca="1">F16-IFERROR(VLOOKUP($A16,'0513'!$A$1:'0513'!G$48,6,FALSE),IFERROR(VLOOKUP($C16,'0513'!$C$1:'0513'!G$48,4,FALSE),F16-D16))</f>
        <v>5</v>
      </c>
      <c r="K16" s="8">
        <f ca="1">G16-IFERROR(VLOOKUP($A16,'0513'!$A$1:'0513'!H$44,7,FALSE),IFERROR(VLOOKUP($C16,'0513'!$C$1:'0513'!H$44,5,FALSE),G16-E16))</f>
        <v>0</v>
      </c>
      <c r="L16" s="4">
        <f ca="1" t="shared" si="2"/>
        <v>0</v>
      </c>
    </row>
    <row r="17" s="2" customFormat="1" spans="1:12">
      <c r="A17" s="2" t="s">
        <v>66</v>
      </c>
      <c r="B17" s="2" t="s">
        <v>10</v>
      </c>
      <c r="C17" s="9">
        <v>45778</v>
      </c>
      <c r="D17" s="2">
        <v>27</v>
      </c>
      <c r="E17" s="2">
        <v>14</v>
      </c>
      <c r="F17" s="2">
        <v>395</v>
      </c>
      <c r="G17" s="2">
        <v>168</v>
      </c>
      <c r="H17" s="4">
        <f t="shared" si="0"/>
        <v>0.518518518518518</v>
      </c>
      <c r="I17" s="4">
        <f t="shared" si="1"/>
        <v>0.425316455696203</v>
      </c>
      <c r="J17" s="7">
        <f ca="1">F17-IFERROR(VLOOKUP($A17,'0513'!$A$1:'0513'!G$48,6,FALSE),IFERROR(VLOOKUP($C17,'0513'!$C$1:'0513'!G$48,4,FALSE),F17-D17))</f>
        <v>4</v>
      </c>
      <c r="K17" s="8">
        <f ca="1">G17-IFERROR(VLOOKUP($A17,'0513'!$A$1:'0513'!H$44,7,FALSE),IFERROR(VLOOKUP($C17,'0513'!$C$1:'0513'!H$44,5,FALSE),G17-E17))</f>
        <v>0</v>
      </c>
      <c r="L17" s="4">
        <f ca="1" t="shared" si="2"/>
        <v>0</v>
      </c>
    </row>
    <row r="18" s="2" customFormat="1" spans="1:13">
      <c r="A18" s="2" t="s">
        <v>9</v>
      </c>
      <c r="B18" s="2" t="s">
        <v>10</v>
      </c>
      <c r="C18" s="9">
        <v>45777</v>
      </c>
      <c r="D18" s="2">
        <v>16</v>
      </c>
      <c r="E18" s="2">
        <v>14</v>
      </c>
      <c r="F18" s="2">
        <v>246</v>
      </c>
      <c r="G18" s="2">
        <v>304</v>
      </c>
      <c r="H18" s="4">
        <f t="shared" si="0"/>
        <v>0.875</v>
      </c>
      <c r="I18" s="4">
        <f t="shared" si="1"/>
        <v>1.23577235772358</v>
      </c>
      <c r="J18" s="7">
        <f ca="1">F18-IFERROR(VLOOKUP($A18,'0513'!$A$1:'0513'!G$48,6,FALSE),IFERROR(VLOOKUP($C18,'0513'!$C$1:'0513'!G$48,4,FALSE),F18-D18))</f>
        <v>2</v>
      </c>
      <c r="K18" s="8">
        <f ca="1">G18-IFERROR(VLOOKUP($A18,'0513'!$A$1:'0513'!H$44,7,FALSE),IFERROR(VLOOKUP($C18,'0513'!$C$1:'0513'!H$44,5,FALSE),G18-E18))</f>
        <v>0</v>
      </c>
      <c r="L18" s="4">
        <f ca="1" t="shared" si="2"/>
        <v>0</v>
      </c>
      <c r="M18" s="2" t="s">
        <v>84</v>
      </c>
    </row>
    <row r="19" s="2" customFormat="1" spans="1:13">
      <c r="A19" s="2" t="s">
        <v>11</v>
      </c>
      <c r="B19" s="2" t="s">
        <v>10</v>
      </c>
      <c r="C19" s="9">
        <v>45777</v>
      </c>
      <c r="D19" s="2">
        <v>65</v>
      </c>
      <c r="E19" s="2">
        <v>185</v>
      </c>
      <c r="F19" s="2">
        <v>199</v>
      </c>
      <c r="G19" s="2">
        <v>748</v>
      </c>
      <c r="H19" s="4">
        <f t="shared" si="0"/>
        <v>2.84615384615385</v>
      </c>
      <c r="I19" s="4">
        <f t="shared" si="1"/>
        <v>3.75879396984925</v>
      </c>
      <c r="J19" s="7">
        <f ca="1">F19-IFERROR(VLOOKUP($A19,'0513'!$A$1:'0513'!G$48,6,FALSE),IFERROR(VLOOKUP($C19,'0513'!$C$1:'0513'!G$48,4,FALSE),F19-D19))</f>
        <v>3</v>
      </c>
      <c r="K19" s="8">
        <f ca="1">G19-IFERROR(VLOOKUP($A19,'0513'!$A$1:'0513'!H$44,7,FALSE),IFERROR(VLOOKUP($C19,'0513'!$C$1:'0513'!H$44,5,FALSE),G19-E19))</f>
        <v>0</v>
      </c>
      <c r="L19" s="4">
        <f ca="1" t="shared" si="2"/>
        <v>0</v>
      </c>
      <c r="M19" s="2" t="s">
        <v>67</v>
      </c>
    </row>
    <row r="20" s="2" customFormat="1" spans="1:12">
      <c r="A20" s="2" t="s">
        <v>12</v>
      </c>
      <c r="B20" s="2" t="s">
        <v>10</v>
      </c>
      <c r="C20" s="9">
        <v>45776</v>
      </c>
      <c r="D20" s="2">
        <v>52</v>
      </c>
      <c r="E20" s="2">
        <v>4</v>
      </c>
      <c r="F20" s="2">
        <v>693</v>
      </c>
      <c r="G20" s="2">
        <v>397</v>
      </c>
      <c r="H20" s="4">
        <f t="shared" si="0"/>
        <v>0.0769230769230769</v>
      </c>
      <c r="I20" s="4">
        <f t="shared" si="1"/>
        <v>0.572871572871573</v>
      </c>
      <c r="J20" s="7">
        <f ca="1">F20-IFERROR(VLOOKUP($A20,'0513'!$A$1:'0513'!G$48,6,FALSE),IFERROR(VLOOKUP($C20,'0513'!$C$1:'0513'!G$48,4,FALSE),F20-D20))</f>
        <v>9</v>
      </c>
      <c r="K20" s="8">
        <f ca="1">G20-IFERROR(VLOOKUP($A20,'0513'!$A$1:'0513'!H$44,7,FALSE),IFERROR(VLOOKUP($C20,'0513'!$C$1:'0513'!H$44,5,FALSE),G20-E20))</f>
        <v>0</v>
      </c>
      <c r="L20" s="4">
        <f ca="1" t="shared" si="2"/>
        <v>0</v>
      </c>
    </row>
    <row r="21" s="2" customFormat="1" spans="1:12">
      <c r="A21" s="2" t="s">
        <v>27</v>
      </c>
      <c r="B21" s="2" t="s">
        <v>10</v>
      </c>
      <c r="C21" s="9">
        <v>45769</v>
      </c>
      <c r="D21" s="2">
        <v>28</v>
      </c>
      <c r="E21" s="2">
        <v>28</v>
      </c>
      <c r="F21" s="2">
        <v>611</v>
      </c>
      <c r="G21" s="2">
        <v>362</v>
      </c>
      <c r="H21" s="4">
        <f t="shared" si="0"/>
        <v>1</v>
      </c>
      <c r="I21" s="4">
        <f t="shared" si="1"/>
        <v>0.592471358428805</v>
      </c>
      <c r="J21" s="7">
        <f ca="1">F21-IFERROR(VLOOKUP($A21,'0513'!$A$1:'0513'!G$48,6,FALSE),IFERROR(VLOOKUP($C21,'0513'!$C$1:'0513'!G$48,4,FALSE),F21-D21))</f>
        <v>4</v>
      </c>
      <c r="K21" s="8">
        <f ca="1">G21-IFERROR(VLOOKUP($A21,'0513'!$A$1:'0513'!H$44,7,FALSE),IFERROR(VLOOKUP($C21,'0513'!$C$1:'0513'!H$44,5,FALSE),G21-E21))</f>
        <v>14</v>
      </c>
      <c r="L21" s="4">
        <f ca="1" t="shared" si="2"/>
        <v>3.5</v>
      </c>
    </row>
    <row r="22" s="2" customFormat="1" spans="1:13">
      <c r="A22" s="2">
        <v>111</v>
      </c>
      <c r="B22" s="2" t="s">
        <v>10</v>
      </c>
      <c r="C22" s="9">
        <v>45768</v>
      </c>
      <c r="D22" s="2">
        <v>11</v>
      </c>
      <c r="E22" s="2">
        <v>6</v>
      </c>
      <c r="F22" s="2">
        <v>228</v>
      </c>
      <c r="G22" s="2">
        <v>609</v>
      </c>
      <c r="H22" s="4">
        <f t="shared" si="0"/>
        <v>0.545454545454545</v>
      </c>
      <c r="I22" s="4">
        <f t="shared" si="1"/>
        <v>2.67105263157895</v>
      </c>
      <c r="J22" s="7">
        <f ca="1">F22-IFERROR(VLOOKUP($A22,'0513'!$A$1:'0513'!G$48,6,FALSE),IFERROR(VLOOKUP($C22,'0513'!$C$1:'0513'!G$48,4,FALSE),F22-D22))</f>
        <v>0</v>
      </c>
      <c r="K22" s="8">
        <f ca="1">G22-IFERROR(VLOOKUP($A22,'0513'!$A$1:'0513'!H$44,7,FALSE),IFERROR(VLOOKUP($C22,'0513'!$C$1:'0513'!H$44,5,FALSE),G22-E22))</f>
        <v>0</v>
      </c>
      <c r="L22" s="4">
        <f ca="1" t="shared" si="2"/>
        <v>0</v>
      </c>
      <c r="M22" s="2" t="s">
        <v>104</v>
      </c>
    </row>
    <row r="23" s="2" customFormat="1" spans="1:13">
      <c r="A23" s="2" t="s">
        <v>34</v>
      </c>
      <c r="B23" s="2" t="s">
        <v>10</v>
      </c>
      <c r="C23" s="9">
        <v>45765</v>
      </c>
      <c r="D23" s="2">
        <v>13</v>
      </c>
      <c r="E23" s="2">
        <v>6</v>
      </c>
      <c r="F23" s="2">
        <v>417</v>
      </c>
      <c r="G23" s="2">
        <v>458</v>
      </c>
      <c r="H23" s="4">
        <f t="shared" si="0"/>
        <v>0.461538461538462</v>
      </c>
      <c r="I23" s="4">
        <f t="shared" si="1"/>
        <v>1.09832134292566</v>
      </c>
      <c r="J23" s="7">
        <f ca="1">F23-IFERROR(VLOOKUP($A23,'0513'!$A$1:'0513'!G$48,6,FALSE),IFERROR(VLOOKUP($C23,'0513'!$C$1:'0513'!G$48,4,FALSE),F23-D23))</f>
        <v>8</v>
      </c>
      <c r="K23" s="8">
        <f ca="1">G23-IFERROR(VLOOKUP($A23,'0513'!$A$1:'0513'!H$44,7,FALSE),IFERROR(VLOOKUP($C23,'0513'!$C$1:'0513'!H$44,5,FALSE),G23-E23))</f>
        <v>0</v>
      </c>
      <c r="L23" s="4">
        <f ca="1" t="shared" si="2"/>
        <v>0</v>
      </c>
      <c r="M23" s="2" t="s">
        <v>106</v>
      </c>
    </row>
    <row r="24" s="2" customFormat="1" spans="1:13">
      <c r="A24" s="2" t="s">
        <v>39</v>
      </c>
      <c r="B24" s="2" t="s">
        <v>10</v>
      </c>
      <c r="C24" s="9">
        <v>45763</v>
      </c>
      <c r="D24" s="2">
        <v>17</v>
      </c>
      <c r="E24" s="2">
        <v>16</v>
      </c>
      <c r="F24" s="2">
        <v>672</v>
      </c>
      <c r="G24" s="2">
        <v>386</v>
      </c>
      <c r="H24" s="4">
        <f t="shared" si="0"/>
        <v>0.941176470588235</v>
      </c>
      <c r="I24" s="4">
        <f t="shared" si="1"/>
        <v>0.574404761904762</v>
      </c>
      <c r="J24" s="7">
        <f ca="1">F24-IFERROR(VLOOKUP($A24,'0513'!$A$1:'0513'!G$48,6,FALSE),IFERROR(VLOOKUP($C24,'0513'!$C$1:'0513'!G$48,4,FALSE),F24-D24))</f>
        <v>3</v>
      </c>
      <c r="K24" s="8">
        <f ca="1">G24-IFERROR(VLOOKUP($A24,'0513'!$A$1:'0513'!H$44,7,FALSE),IFERROR(VLOOKUP($C24,'0513'!$C$1:'0513'!H$44,5,FALSE),G24-E24))</f>
        <v>0</v>
      </c>
      <c r="L24" s="4">
        <f ca="1" t="shared" si="2"/>
        <v>0</v>
      </c>
      <c r="M24" s="2" t="s">
        <v>90</v>
      </c>
    </row>
    <row r="25" s="2" customFormat="1" spans="1:13">
      <c r="A25" s="2" t="s">
        <v>44</v>
      </c>
      <c r="B25" s="2" t="s">
        <v>10</v>
      </c>
      <c r="C25" s="9">
        <v>45761</v>
      </c>
      <c r="D25" s="2">
        <v>19</v>
      </c>
      <c r="E25" s="2">
        <v>32</v>
      </c>
      <c r="F25" s="2">
        <v>1078</v>
      </c>
      <c r="G25" s="2">
        <v>951</v>
      </c>
      <c r="H25" s="4">
        <f t="shared" si="0"/>
        <v>1.68421052631579</v>
      </c>
      <c r="I25" s="4">
        <f t="shared" si="1"/>
        <v>0.882189239332096</v>
      </c>
      <c r="J25" s="7">
        <f ca="1">F25-IFERROR(VLOOKUP($A25,'0513'!$A$1:'0513'!G$48,6,FALSE),IFERROR(VLOOKUP($C25,'0513'!$C$1:'0513'!G$48,4,FALSE),F25-D25))</f>
        <v>3</v>
      </c>
      <c r="K25" s="8">
        <f ca="1">G25-IFERROR(VLOOKUP($A25,'0513'!$A$1:'0513'!H$44,7,FALSE),IFERROR(VLOOKUP($C25,'0513'!$C$1:'0513'!H$44,5,FALSE),G25-E25))</f>
        <v>0</v>
      </c>
      <c r="L25" s="4">
        <f ca="1" t="shared" si="2"/>
        <v>0</v>
      </c>
      <c r="M25" s="2" t="s">
        <v>45</v>
      </c>
    </row>
    <row r="26" s="2" customFormat="1" spans="1:12">
      <c r="A26" s="2" t="s">
        <v>46</v>
      </c>
      <c r="B26" s="2" t="s">
        <v>10</v>
      </c>
      <c r="C26" s="9">
        <v>45757</v>
      </c>
      <c r="D26" s="2">
        <v>16</v>
      </c>
      <c r="E26" s="2">
        <v>6</v>
      </c>
      <c r="F26" s="2">
        <v>651</v>
      </c>
      <c r="G26" s="2">
        <v>769</v>
      </c>
      <c r="H26" s="4">
        <f t="shared" si="0"/>
        <v>0.375</v>
      </c>
      <c r="I26" s="4">
        <f t="shared" si="1"/>
        <v>1.18125960061444</v>
      </c>
      <c r="J26" s="7">
        <f ca="1">F26-IFERROR(VLOOKUP($A26,'0513'!$A$1:'0513'!G$48,6,FALSE),IFERROR(VLOOKUP($C26,'0513'!$C$1:'0513'!G$48,4,FALSE),F26-D26))</f>
        <v>0</v>
      </c>
      <c r="K26" s="8">
        <f ca="1">G26-IFERROR(VLOOKUP($A26,'0513'!$A$1:'0513'!H$44,7,FALSE),IFERROR(VLOOKUP($C26,'0513'!$C$1:'0513'!H$44,5,FALSE),G26-E26))</f>
        <v>0</v>
      </c>
      <c r="L26" s="4">
        <f ca="1" t="shared" si="2"/>
        <v>0</v>
      </c>
    </row>
    <row r="27" s="2" customFormat="1" spans="1:13">
      <c r="A27" s="2" t="s">
        <v>73</v>
      </c>
      <c r="B27" s="2" t="s">
        <v>10</v>
      </c>
      <c r="C27" s="9">
        <v>45755</v>
      </c>
      <c r="D27" s="2">
        <v>20</v>
      </c>
      <c r="E27" s="2">
        <v>10</v>
      </c>
      <c r="F27" s="2">
        <v>464</v>
      </c>
      <c r="G27" s="2">
        <v>521</v>
      </c>
      <c r="H27" s="4">
        <f t="shared" si="0"/>
        <v>0.5</v>
      </c>
      <c r="I27" s="4">
        <f t="shared" si="1"/>
        <v>1.12284482758621</v>
      </c>
      <c r="J27" s="7">
        <f ca="1">F27-IFERROR(VLOOKUP($A27,'0513'!$A$1:'0513'!G$48,6,FALSE),IFERROR(VLOOKUP($C27,'0513'!$C$1:'0513'!G$48,4,FALSE),F27-D27))</f>
        <v>4</v>
      </c>
      <c r="K27" s="8">
        <f ca="1">G27-IFERROR(VLOOKUP($A27,'0513'!$A$1:'0513'!H$44,7,FALSE),IFERROR(VLOOKUP($C27,'0513'!$C$1:'0513'!H$44,5,FALSE),G27-E27))</f>
        <v>0</v>
      </c>
      <c r="L27" s="4">
        <f ca="1" t="shared" si="2"/>
        <v>0</v>
      </c>
      <c r="M27" s="2" t="s">
        <v>74</v>
      </c>
    </row>
    <row r="28" s="2" customFormat="1" spans="1:13">
      <c r="A28" s="2" t="s">
        <v>96</v>
      </c>
      <c r="B28" s="2" t="s">
        <v>10</v>
      </c>
      <c r="C28" s="9">
        <v>45752</v>
      </c>
      <c r="D28" s="2">
        <v>43</v>
      </c>
      <c r="E28" s="2">
        <v>11</v>
      </c>
      <c r="F28" s="2">
        <v>9570</v>
      </c>
      <c r="G28" s="2">
        <v>1168</v>
      </c>
      <c r="H28" s="4">
        <f t="shared" si="0"/>
        <v>0.255813953488372</v>
      </c>
      <c r="I28" s="4">
        <f t="shared" si="1"/>
        <v>0.122048066875653</v>
      </c>
      <c r="J28" s="7">
        <f ca="1">F28-IFERROR(VLOOKUP($A28,'0513'!$A$1:'0513'!G$48,6,FALSE),IFERROR(VLOOKUP($C28,'0513'!$C$1:'0513'!G$48,4,FALSE),F28-D28))</f>
        <v>1</v>
      </c>
      <c r="K28" s="8">
        <f ca="1">G28-IFERROR(VLOOKUP($A28,'0513'!$A$1:'0513'!H$44,7,FALSE),IFERROR(VLOOKUP($C28,'0513'!$C$1:'0513'!H$44,5,FALSE),G28-E28))</f>
        <v>0</v>
      </c>
      <c r="L28" s="4">
        <f ca="1" t="shared" si="2"/>
        <v>0</v>
      </c>
      <c r="M28" s="2" t="s">
        <v>97</v>
      </c>
    </row>
    <row r="29" s="2" customFormat="1" spans="1:13">
      <c r="A29" s="2" t="s">
        <v>52</v>
      </c>
      <c r="B29" s="2" t="s">
        <v>10</v>
      </c>
      <c r="C29" s="9">
        <v>45743</v>
      </c>
      <c r="D29" s="2">
        <v>173</v>
      </c>
      <c r="E29" s="2">
        <v>50</v>
      </c>
      <c r="F29" s="2">
        <v>5097</v>
      </c>
      <c r="G29" s="2">
        <v>2046</v>
      </c>
      <c r="H29" s="4">
        <f t="shared" si="0"/>
        <v>0.289017341040462</v>
      </c>
      <c r="I29" s="4">
        <f t="shared" si="1"/>
        <v>0.401412595644497</v>
      </c>
      <c r="J29" s="7">
        <f ca="1">F29-IFERROR(VLOOKUP($A29,'0513'!$A$1:'0513'!G$48,6,FALSE),IFERROR(VLOOKUP($C29,'0513'!$C$1:'0513'!G$48,4,FALSE),F29-D29))</f>
        <v>27</v>
      </c>
      <c r="K29" s="8">
        <f ca="1">G29-IFERROR(VLOOKUP($A29,'0513'!$A$1:'0513'!H$44,7,FALSE),IFERROR(VLOOKUP($C29,'0513'!$C$1:'0513'!H$44,5,FALSE),G29-E29))</f>
        <v>0</v>
      </c>
      <c r="L29" s="4">
        <f ca="1" t="shared" si="2"/>
        <v>0</v>
      </c>
      <c r="M29" s="2" t="s">
        <v>53</v>
      </c>
    </row>
    <row r="30" s="2" customFormat="1" spans="1:13">
      <c r="A30" s="2" t="s">
        <v>54</v>
      </c>
      <c r="B30" s="2" t="s">
        <v>10</v>
      </c>
      <c r="C30" s="9">
        <v>45741</v>
      </c>
      <c r="D30" s="2">
        <v>79</v>
      </c>
      <c r="E30" s="2">
        <v>5</v>
      </c>
      <c r="F30" s="2">
        <v>1338</v>
      </c>
      <c r="G30" s="2">
        <v>692</v>
      </c>
      <c r="H30" s="4">
        <f t="shared" si="0"/>
        <v>0.0632911392405063</v>
      </c>
      <c r="I30" s="4">
        <f t="shared" si="1"/>
        <v>0.517189835575486</v>
      </c>
      <c r="J30" s="7">
        <f ca="1">F30-IFERROR(VLOOKUP($A30,'0513'!$A$1:'0513'!G$48,6,FALSE),IFERROR(VLOOKUP($C30,'0513'!$C$1:'0513'!G$48,4,FALSE),F30-D30))</f>
        <v>7</v>
      </c>
      <c r="K30" s="8">
        <f ca="1">G30-IFERROR(VLOOKUP($A30,'0513'!$A$1:'0513'!H$44,7,FALSE),IFERROR(VLOOKUP($C30,'0513'!$C$1:'0513'!H$44,5,FALSE),G30-E30))</f>
        <v>0</v>
      </c>
      <c r="L30" s="4">
        <f ca="1" t="shared" si="2"/>
        <v>0</v>
      </c>
      <c r="M30" s="13" t="s">
        <v>55</v>
      </c>
    </row>
    <row r="31" s="2" customFormat="1" spans="1:14">
      <c r="A31" s="2" t="s">
        <v>85</v>
      </c>
      <c r="B31" s="2" t="s">
        <v>10</v>
      </c>
      <c r="C31" s="9">
        <v>45739</v>
      </c>
      <c r="D31" s="2">
        <v>26</v>
      </c>
      <c r="E31" s="2">
        <v>10</v>
      </c>
      <c r="F31" s="2">
        <v>302</v>
      </c>
      <c r="G31" s="2">
        <v>664</v>
      </c>
      <c r="H31" s="4">
        <f t="shared" si="0"/>
        <v>0.384615384615385</v>
      </c>
      <c r="I31" s="4">
        <f t="shared" si="1"/>
        <v>2.19867549668874</v>
      </c>
      <c r="J31" s="7">
        <f ca="1">F31-IFERROR(VLOOKUP($A31,'0513'!$A$1:'0513'!G$48,6,FALSE),IFERROR(VLOOKUP($C31,'0513'!$C$1:'0513'!G$48,4,FALSE),F31-D31))</f>
        <v>0</v>
      </c>
      <c r="K31" s="8">
        <f ca="1">G31-IFERROR(VLOOKUP($A31,'0513'!$A$1:'0513'!H$44,7,FALSE),IFERROR(VLOOKUP($C31,'0513'!$C$1:'0513'!H$44,5,FALSE),G31-E31))</f>
        <v>0</v>
      </c>
      <c r="L31" s="4">
        <f ca="1" t="shared" si="2"/>
        <v>0</v>
      </c>
      <c r="M31" s="13" t="s">
        <v>86</v>
      </c>
      <c r="N31" s="2" t="s">
        <v>87</v>
      </c>
    </row>
    <row r="32" s="2" customFormat="1" spans="1:13">
      <c r="A32" s="2" t="s">
        <v>56</v>
      </c>
      <c r="B32" s="2" t="s">
        <v>10</v>
      </c>
      <c r="C32" s="9">
        <v>45734</v>
      </c>
      <c r="D32" s="2">
        <v>13</v>
      </c>
      <c r="E32" s="2">
        <v>5</v>
      </c>
      <c r="F32" s="2">
        <v>520</v>
      </c>
      <c r="G32" s="2">
        <v>680</v>
      </c>
      <c r="H32" s="4">
        <f t="shared" si="0"/>
        <v>0.384615384615385</v>
      </c>
      <c r="I32" s="4">
        <f t="shared" si="1"/>
        <v>1.30769230769231</v>
      </c>
      <c r="J32" s="7">
        <f ca="1">F32-IFERROR(VLOOKUP($A32,'0513'!$A$1:'0513'!G$48,6,FALSE),IFERROR(VLOOKUP($C32,'0513'!$C$1:'0513'!G$48,4,FALSE),F32-D32))</f>
        <v>2</v>
      </c>
      <c r="K32" s="8">
        <f ca="1">G32-IFERROR(VLOOKUP($A32,'0513'!$A$1:'0513'!H$44,7,FALSE),IFERROR(VLOOKUP($C32,'0513'!$C$1:'0513'!H$44,5,FALSE),G32-E32))</f>
        <v>0</v>
      </c>
      <c r="L32" s="4">
        <f ca="1" t="shared" si="2"/>
        <v>0</v>
      </c>
      <c r="M32" s="2" t="s">
        <v>79</v>
      </c>
    </row>
    <row r="33" s="2" customFormat="1" spans="1:14">
      <c r="A33" s="2" t="s">
        <v>98</v>
      </c>
      <c r="B33" s="2" t="s">
        <v>10</v>
      </c>
      <c r="C33" s="9">
        <v>45731</v>
      </c>
      <c r="D33" s="2">
        <v>105</v>
      </c>
      <c r="E33" s="2">
        <v>385</v>
      </c>
      <c r="F33" s="2">
        <v>315</v>
      </c>
      <c r="G33" s="2">
        <v>722</v>
      </c>
      <c r="H33" s="4">
        <f t="shared" si="0"/>
        <v>3.66666666666667</v>
      </c>
      <c r="I33" s="4">
        <f t="shared" si="1"/>
        <v>2.29206349206349</v>
      </c>
      <c r="J33" s="7">
        <f ca="1">F33-IFERROR(VLOOKUP($A33,'0513'!$A$1:'0513'!G$48,6,FALSE),IFERROR(VLOOKUP($C33,'0513'!$C$1:'0513'!G$48,4,FALSE),F33-D33))</f>
        <v>30</v>
      </c>
      <c r="K33" s="8">
        <f ca="1">G33-IFERROR(VLOOKUP($A33,'0513'!$A$1:'0513'!H$44,7,FALSE),IFERROR(VLOOKUP($C33,'0513'!$C$1:'0513'!H$44,5,FALSE),G33-E33))</f>
        <v>51</v>
      </c>
      <c r="L33" s="4">
        <f ca="1" t="shared" si="2"/>
        <v>1.7</v>
      </c>
      <c r="M33" s="2" t="s">
        <v>99</v>
      </c>
      <c r="N33" s="2" t="s">
        <v>100</v>
      </c>
    </row>
    <row r="34" s="2" customFormat="1" spans="1:13">
      <c r="A34" s="2" t="s">
        <v>75</v>
      </c>
      <c r="B34" s="2" t="s">
        <v>10</v>
      </c>
      <c r="C34" s="9">
        <v>45720</v>
      </c>
      <c r="D34" s="2">
        <v>17</v>
      </c>
      <c r="E34" s="2">
        <v>6</v>
      </c>
      <c r="F34" s="2">
        <v>391</v>
      </c>
      <c r="G34" s="2">
        <v>281</v>
      </c>
      <c r="H34" s="4">
        <f t="shared" si="0"/>
        <v>0.352941176470588</v>
      </c>
      <c r="I34" s="4">
        <f t="shared" si="1"/>
        <v>0.718670076726343</v>
      </c>
      <c r="J34" s="7">
        <f ca="1">F34-IFERROR(VLOOKUP($A34,'0513'!$A$1:'0513'!G$48,6,FALSE),IFERROR(VLOOKUP($C34,'0513'!$C$1:'0513'!G$48,4,FALSE),F34-D34))</f>
        <v>6</v>
      </c>
      <c r="K34" s="8">
        <f ca="1">G34-IFERROR(VLOOKUP($A34,'0513'!$A$1:'0513'!H$44,7,FALSE),IFERROR(VLOOKUP($C34,'0513'!$C$1:'0513'!H$44,5,FALSE),G34-E34))</f>
        <v>0</v>
      </c>
      <c r="L34" s="4">
        <f ca="1" t="shared" si="2"/>
        <v>0</v>
      </c>
      <c r="M34" s="13" t="s">
        <v>76</v>
      </c>
    </row>
    <row r="35" s="2" customFormat="1" spans="1:13">
      <c r="A35" s="2" t="s">
        <v>110</v>
      </c>
      <c r="B35" s="2" t="s">
        <v>10</v>
      </c>
      <c r="C35" s="9">
        <v>45686</v>
      </c>
      <c r="D35" s="2">
        <v>5</v>
      </c>
      <c r="E35" s="2">
        <v>3</v>
      </c>
      <c r="F35" s="2">
        <v>447</v>
      </c>
      <c r="G35" s="2">
        <v>347</v>
      </c>
      <c r="H35" s="4">
        <f t="shared" si="0"/>
        <v>0.6</v>
      </c>
      <c r="I35" s="4">
        <f t="shared" si="1"/>
        <v>0.776286353467561</v>
      </c>
      <c r="J35" s="7">
        <f ca="1">F35-IFERROR(VLOOKUP($A35,'0513'!$A$1:'0513'!G$48,6,FALSE),IFERROR(VLOOKUP($C35,'0513'!$C$1:'0513'!G$48,4,FALSE),F35-D35))</f>
        <v>5</v>
      </c>
      <c r="K35" s="8">
        <f ca="1">G35-IFERROR(VLOOKUP($A35,'0513'!$A$1:'0513'!H$44,7,FALSE),IFERROR(VLOOKUP($C35,'0513'!$C$1:'0513'!H$44,5,FALSE),G35-E35))</f>
        <v>3</v>
      </c>
      <c r="L35" s="4">
        <f ca="1" t="shared" si="2"/>
        <v>0.6</v>
      </c>
      <c r="M35" s="13" t="s">
        <v>111</v>
      </c>
    </row>
    <row r="36" s="2" customFormat="1" spans="1:13">
      <c r="A36" s="2" t="s">
        <v>91</v>
      </c>
      <c r="B36" s="2" t="s">
        <v>10</v>
      </c>
      <c r="C36" s="9">
        <v>45474</v>
      </c>
      <c r="D36" s="2">
        <v>6</v>
      </c>
      <c r="E36" s="2">
        <v>1</v>
      </c>
      <c r="F36" s="2">
        <v>479</v>
      </c>
      <c r="G36" s="2">
        <v>37</v>
      </c>
      <c r="H36" s="4">
        <f t="shared" si="0"/>
        <v>0.166666666666667</v>
      </c>
      <c r="I36" s="4">
        <f t="shared" si="1"/>
        <v>0.0772442588726513</v>
      </c>
      <c r="J36" s="7">
        <f ca="1">F36-IFERROR(VLOOKUP($A36,'0513'!$A$1:'0513'!G$48,6,FALSE),IFERROR(VLOOKUP($C36,'0513'!$C$1:'0513'!G$48,4,FALSE),F36-D36))</f>
        <v>0</v>
      </c>
      <c r="K36" s="8">
        <f ca="1">G36-IFERROR(VLOOKUP($A36,'0513'!$A$1:'0513'!H$44,7,FALSE),IFERROR(VLOOKUP($C36,'0513'!$C$1:'0513'!H$44,5,FALSE),G36-E36))</f>
        <v>0</v>
      </c>
      <c r="L36" s="4">
        <f ca="1" t="shared" si="2"/>
        <v>0</v>
      </c>
      <c r="M36" s="2" t="s">
        <v>92</v>
      </c>
    </row>
    <row r="37" spans="11:11">
      <c r="K37" s="2">
        <f ca="1">SUM(K2:K36)</f>
        <v>743</v>
      </c>
    </row>
    <row r="46" spans="14:14">
      <c r="N46"/>
    </row>
    <row r="47" spans="13:13">
      <c r="M47" s="2" t="s">
        <v>102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"/>
  <sheetViews>
    <sheetView topLeftCell="A19" workbookViewId="0">
      <selection activeCell="A25" sqref="$A25:$XFD25"/>
    </sheetView>
  </sheetViews>
  <sheetFormatPr defaultColWidth="10" defaultRowHeight="14.4"/>
  <cols>
    <col min="1" max="1" width="49.8888888888889" style="2" customWidth="1"/>
    <col min="2" max="2" width="10" style="2" hidden="1" customWidth="1"/>
    <col min="3" max="3" width="10" style="2"/>
    <col min="4" max="7" width="6" style="2" customWidth="1"/>
    <col min="8" max="9" width="6.77777777777778" style="2" customWidth="1"/>
    <col min="10" max="10" width="7.66666666666667" style="2" customWidth="1"/>
    <col min="11" max="12" width="6.77777777777778" style="2" customWidth="1"/>
    <col min="13" max="13" width="18.6666666666667" style="2" customWidth="1"/>
    <col min="14" max="14" width="19.6666666666667" style="2" customWidth="1"/>
    <col min="15" max="16384" width="10" style="2"/>
  </cols>
  <sheetData>
    <row r="1" s="2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J1" s="5" t="s">
        <v>7</v>
      </c>
      <c r="K1" s="5" t="s">
        <v>8</v>
      </c>
    </row>
    <row r="2" s="2" customFormat="1" spans="1:12">
      <c r="A2" s="2" t="s">
        <v>112</v>
      </c>
      <c r="B2" s="2" t="s">
        <v>10</v>
      </c>
      <c r="C2" s="9">
        <v>45791</v>
      </c>
      <c r="D2" s="2">
        <v>129</v>
      </c>
      <c r="E2" s="2">
        <v>131</v>
      </c>
      <c r="F2" s="2">
        <v>129</v>
      </c>
      <c r="G2" s="2">
        <v>131</v>
      </c>
      <c r="H2" s="4">
        <f t="shared" ref="H2:H36" si="0">E2/D2</f>
        <v>1.01550387596899</v>
      </c>
      <c r="I2" s="4">
        <f t="shared" ref="I2:I36" si="1">G2/F2</f>
        <v>1.01550387596899</v>
      </c>
      <c r="J2" s="7">
        <f ca="1">F2-IFERROR(VLOOKUP($A2,'0514'!$A$1:'0514'!G$48,6,FALSE),IFERROR(VLOOKUP($C2,'0514'!$C$1:'0514'!G$48,4,FALSE),F2-D2))</f>
        <v>129</v>
      </c>
      <c r="K2" s="8">
        <f ca="1">G2-IFERROR(VLOOKUP($A2,'0514'!$A$1:'0514'!H$44,7,FALSE),IFERROR(VLOOKUP($C2,'0514'!$C$1:'0514'!H$44,5,FALSE),G2-E2))</f>
        <v>131</v>
      </c>
      <c r="L2" s="4">
        <f ca="1" t="shared" ref="L2:L36" si="2">IFERROR(K2/J2,)</f>
        <v>1.01550387596899</v>
      </c>
    </row>
    <row r="3" s="2" customFormat="1" spans="1:12">
      <c r="A3" s="2" t="s">
        <v>113</v>
      </c>
      <c r="B3" s="2" t="s">
        <v>10</v>
      </c>
      <c r="C3" s="9">
        <v>45791</v>
      </c>
      <c r="D3" s="2">
        <v>167</v>
      </c>
      <c r="E3" s="2">
        <v>209</v>
      </c>
      <c r="F3" s="2">
        <v>167</v>
      </c>
      <c r="G3" s="2">
        <v>209</v>
      </c>
      <c r="H3" s="4">
        <f t="shared" si="0"/>
        <v>1.25149700598802</v>
      </c>
      <c r="I3" s="4">
        <f t="shared" si="1"/>
        <v>1.25149700598802</v>
      </c>
      <c r="J3" s="7">
        <f ca="1">F3-IFERROR(VLOOKUP($A3,'0514'!$A$1:'0514'!G$48,6,FALSE),IFERROR(VLOOKUP($C3,'0514'!$C$1:'0514'!G$48,4,FALSE),F3-D3))</f>
        <v>167</v>
      </c>
      <c r="K3" s="8">
        <f ca="1">G3-IFERROR(VLOOKUP($A3,'0514'!$A$1:'0514'!H$44,7,FALSE),IFERROR(VLOOKUP($C3,'0514'!$C$1:'0514'!H$44,5,FALSE),G3-E3))</f>
        <v>209</v>
      </c>
      <c r="L3" s="4">
        <f ca="1" t="shared" si="2"/>
        <v>1.25149700598802</v>
      </c>
    </row>
    <row r="4" s="2" customFormat="1" spans="1:12">
      <c r="A4" s="2" t="s">
        <v>107</v>
      </c>
      <c r="B4" s="2" t="s">
        <v>10</v>
      </c>
      <c r="C4" s="9">
        <v>45790</v>
      </c>
      <c r="D4" s="2">
        <v>260</v>
      </c>
      <c r="E4" s="2">
        <v>288</v>
      </c>
      <c r="F4" s="2">
        <v>260</v>
      </c>
      <c r="G4" s="2">
        <v>288</v>
      </c>
      <c r="H4" s="4">
        <f t="shared" si="0"/>
        <v>1.10769230769231</v>
      </c>
      <c r="I4" s="4">
        <f t="shared" si="1"/>
        <v>1.10769230769231</v>
      </c>
      <c r="J4" s="7">
        <f ca="1">F4-IFERROR(VLOOKUP($A4,'0514'!$A$1:'0514'!G$48,6,FALSE),IFERROR(VLOOKUP($C4,'0514'!$C$1:'0514'!G$48,4,FALSE),F4-D4))</f>
        <v>113</v>
      </c>
      <c r="K4" s="8">
        <f ca="1">G4-IFERROR(VLOOKUP($A4,'0514'!$A$1:'0514'!H$44,7,FALSE),IFERROR(VLOOKUP($C4,'0514'!$C$1:'0514'!H$44,5,FALSE),G4-E4))</f>
        <v>84</v>
      </c>
      <c r="L4" s="4">
        <f ca="1" t="shared" si="2"/>
        <v>0.743362831858407</v>
      </c>
    </row>
    <row r="5" s="2" customFormat="1" spans="1:13">
      <c r="A5" s="2" t="s">
        <v>108</v>
      </c>
      <c r="B5" s="2" t="s">
        <v>10</v>
      </c>
      <c r="C5" s="9">
        <v>45790</v>
      </c>
      <c r="D5" s="2">
        <v>157</v>
      </c>
      <c r="E5" s="2">
        <v>482</v>
      </c>
      <c r="F5" s="2">
        <v>157</v>
      </c>
      <c r="G5" s="2">
        <v>482</v>
      </c>
      <c r="H5" s="4">
        <f t="shared" si="0"/>
        <v>3.07006369426752</v>
      </c>
      <c r="I5" s="4">
        <f t="shared" si="1"/>
        <v>3.07006369426752</v>
      </c>
      <c r="J5" s="7">
        <f ca="1">F5-IFERROR(VLOOKUP($A5,'0514'!$A$1:'0514'!G$48,6,FALSE),IFERROR(VLOOKUP($C5,'0514'!$C$1:'0514'!G$48,4,FALSE),F5-D5))</f>
        <v>103</v>
      </c>
      <c r="K5" s="8">
        <f ca="1">G5-IFERROR(VLOOKUP($A5,'0514'!$A$1:'0514'!H$44,7,FALSE),IFERROR(VLOOKUP($C5,'0514'!$C$1:'0514'!H$44,5,FALSE),G5-E5))</f>
        <v>226</v>
      </c>
      <c r="L5" s="4">
        <f ca="1" t="shared" si="2"/>
        <v>2.19417475728155</v>
      </c>
      <c r="M5" s="2" t="s">
        <v>109</v>
      </c>
    </row>
    <row r="6" s="2" customFormat="1" spans="1:12">
      <c r="A6" s="2" t="s">
        <v>105</v>
      </c>
      <c r="B6" s="2" t="s">
        <v>10</v>
      </c>
      <c r="C6" s="9">
        <v>45789</v>
      </c>
      <c r="D6" s="2">
        <v>157</v>
      </c>
      <c r="E6" s="2">
        <v>513</v>
      </c>
      <c r="F6" s="2">
        <v>157</v>
      </c>
      <c r="G6" s="2">
        <v>513</v>
      </c>
      <c r="H6" s="4">
        <f t="shared" si="0"/>
        <v>3.26751592356688</v>
      </c>
      <c r="I6" s="4">
        <f t="shared" si="1"/>
        <v>3.26751592356688</v>
      </c>
      <c r="J6" s="7">
        <f ca="1">F6-IFERROR(VLOOKUP($A6,'0514'!$A$1:'0514'!G$48,6,FALSE),IFERROR(VLOOKUP($C6,'0514'!$C$1:'0514'!G$48,4,FALSE),F6-D6))</f>
        <v>22</v>
      </c>
      <c r="K6" s="8">
        <f ca="1">G6-IFERROR(VLOOKUP($A6,'0514'!$A$1:'0514'!H$44,7,FALSE),IFERROR(VLOOKUP($C6,'0514'!$C$1:'0514'!H$44,5,FALSE),G6-E6))</f>
        <v>58</v>
      </c>
      <c r="L6" s="4">
        <f ca="1" t="shared" si="2"/>
        <v>2.63636363636364</v>
      </c>
    </row>
    <row r="7" s="2" customFormat="1" spans="1:12">
      <c r="A7" s="2" t="s">
        <v>103</v>
      </c>
      <c r="B7" s="2" t="s">
        <v>10</v>
      </c>
      <c r="C7" s="9">
        <v>45788</v>
      </c>
      <c r="D7" s="2">
        <v>263</v>
      </c>
      <c r="E7" s="2">
        <v>668</v>
      </c>
      <c r="F7" s="2">
        <v>263</v>
      </c>
      <c r="G7" s="2">
        <v>668</v>
      </c>
      <c r="H7" s="4">
        <f t="shared" si="0"/>
        <v>2.53992395437262</v>
      </c>
      <c r="I7" s="4">
        <f t="shared" si="1"/>
        <v>2.53992395437262</v>
      </c>
      <c r="J7" s="7">
        <f ca="1">F7-IFERROR(VLOOKUP($A7,'0514'!$A$1:'0514'!G$48,6,FALSE),IFERROR(VLOOKUP($C7,'0514'!$C$1:'0514'!G$48,4,FALSE),F7-D7))</f>
        <v>54</v>
      </c>
      <c r="K7" s="8">
        <f ca="1">G7-IFERROR(VLOOKUP($A7,'0514'!$A$1:'0514'!H$44,7,FALSE),IFERROR(VLOOKUP($C7,'0514'!$C$1:'0514'!H$44,5,FALSE),G7-E7))</f>
        <v>6</v>
      </c>
      <c r="L7" s="4">
        <f ca="1" t="shared" si="2"/>
        <v>0.111111111111111</v>
      </c>
    </row>
    <row r="8" s="2" customFormat="1" spans="1:12">
      <c r="A8" s="2" t="s">
        <v>101</v>
      </c>
      <c r="B8" s="2" t="s">
        <v>10</v>
      </c>
      <c r="C8" s="9">
        <v>45787</v>
      </c>
      <c r="D8" s="2">
        <v>172</v>
      </c>
      <c r="E8" s="2">
        <v>759</v>
      </c>
      <c r="F8" s="2">
        <v>172</v>
      </c>
      <c r="G8" s="2">
        <v>759</v>
      </c>
      <c r="H8" s="4">
        <f t="shared" si="0"/>
        <v>4.41279069767442</v>
      </c>
      <c r="I8" s="4">
        <f t="shared" si="1"/>
        <v>4.41279069767442</v>
      </c>
      <c r="J8" s="7">
        <f ca="1">F8-IFERROR(VLOOKUP($A8,'0514'!$A$1:'0514'!G$48,6,FALSE),IFERROR(VLOOKUP($C8,'0514'!$C$1:'0514'!G$48,4,FALSE),F8-D8))</f>
        <v>16</v>
      </c>
      <c r="K8" s="8">
        <f ca="1">G8-IFERROR(VLOOKUP($A8,'0514'!$A$1:'0514'!H$44,7,FALSE),IFERROR(VLOOKUP($C8,'0514'!$C$1:'0514'!H$44,5,FALSE),G8-E8))</f>
        <v>6</v>
      </c>
      <c r="L8" s="4">
        <f ca="1" t="shared" si="2"/>
        <v>0.375</v>
      </c>
    </row>
    <row r="9" s="2" customFormat="1" spans="1:13">
      <c r="A9" s="2" t="s">
        <v>93</v>
      </c>
      <c r="B9" s="2" t="s">
        <v>10</v>
      </c>
      <c r="C9" s="9">
        <v>45786</v>
      </c>
      <c r="D9" s="2">
        <v>295</v>
      </c>
      <c r="E9" s="2">
        <v>287</v>
      </c>
      <c r="F9" s="2">
        <v>295</v>
      </c>
      <c r="G9" s="2">
        <v>287</v>
      </c>
      <c r="H9" s="4">
        <f t="shared" si="0"/>
        <v>0.972881355932203</v>
      </c>
      <c r="I9" s="4">
        <f t="shared" si="1"/>
        <v>0.972881355932203</v>
      </c>
      <c r="J9" s="7">
        <f ca="1">F9-IFERROR(VLOOKUP($A9,'0514'!$A$1:'0514'!G$48,6,FALSE),IFERROR(VLOOKUP($C9,'0514'!$C$1:'0514'!G$48,4,FALSE),F9-D9))</f>
        <v>9</v>
      </c>
      <c r="K9" s="8">
        <f ca="1">G9-IFERROR(VLOOKUP($A9,'0514'!$A$1:'0514'!H$44,7,FALSE),IFERROR(VLOOKUP($C9,'0514'!$C$1:'0514'!H$44,5,FALSE),G9-E9))</f>
        <v>6</v>
      </c>
      <c r="L9" s="4">
        <f ca="1" t="shared" si="2"/>
        <v>0.666666666666667</v>
      </c>
      <c r="M9" s="2" t="s">
        <v>94</v>
      </c>
    </row>
    <row r="10" s="2" customFormat="1" spans="1:12">
      <c r="A10" s="2" t="s">
        <v>95</v>
      </c>
      <c r="B10" s="2" t="s">
        <v>10</v>
      </c>
      <c r="C10" s="9">
        <v>45786</v>
      </c>
      <c r="D10" s="2">
        <v>366</v>
      </c>
      <c r="E10" s="2">
        <v>363</v>
      </c>
      <c r="F10" s="2">
        <v>366</v>
      </c>
      <c r="G10" s="2">
        <v>363</v>
      </c>
      <c r="H10" s="4">
        <f t="shared" si="0"/>
        <v>0.991803278688525</v>
      </c>
      <c r="I10" s="4">
        <f t="shared" si="1"/>
        <v>0.991803278688525</v>
      </c>
      <c r="J10" s="7">
        <f ca="1">F10-IFERROR(VLOOKUP($A10,'0514'!$A$1:'0514'!G$48,6,FALSE),IFERROR(VLOOKUP($C10,'0514'!$C$1:'0514'!G$48,4,FALSE),F10-D10))</f>
        <v>14</v>
      </c>
      <c r="K10" s="8">
        <f ca="1">G10-IFERROR(VLOOKUP($A10,'0514'!$A$1:'0514'!H$44,7,FALSE),IFERROR(VLOOKUP($C10,'0514'!$C$1:'0514'!H$44,5,FALSE),G10-E10))</f>
        <v>6</v>
      </c>
      <c r="L10" s="4">
        <f ca="1" t="shared" si="2"/>
        <v>0.428571428571429</v>
      </c>
    </row>
    <row r="11" s="2" customFormat="1" spans="1:12">
      <c r="A11" s="2" t="s">
        <v>88</v>
      </c>
      <c r="B11" s="2" t="s">
        <v>10</v>
      </c>
      <c r="C11" s="9">
        <v>45785</v>
      </c>
      <c r="D11" s="2">
        <v>304</v>
      </c>
      <c r="E11" s="2">
        <v>195</v>
      </c>
      <c r="F11" s="2">
        <v>304</v>
      </c>
      <c r="G11" s="2">
        <v>195</v>
      </c>
      <c r="H11" s="4">
        <f t="shared" si="0"/>
        <v>0.641447368421053</v>
      </c>
      <c r="I11" s="4">
        <f t="shared" si="1"/>
        <v>0.641447368421053</v>
      </c>
      <c r="J11" s="7">
        <f ca="1">F11-IFERROR(VLOOKUP($A11,'0514'!$A$1:'0514'!G$48,6,FALSE),IFERROR(VLOOKUP($C11,'0514'!$C$1:'0514'!G$48,4,FALSE),F11-D11))</f>
        <v>3</v>
      </c>
      <c r="K11" s="8">
        <f ca="1">G11-IFERROR(VLOOKUP($A11,'0514'!$A$1:'0514'!H$44,7,FALSE),IFERROR(VLOOKUP($C11,'0514'!$C$1:'0514'!H$44,5,FALSE),G11-E11))</f>
        <v>0</v>
      </c>
      <c r="L11" s="4">
        <f ca="1" t="shared" si="2"/>
        <v>0</v>
      </c>
    </row>
    <row r="12" s="2" customFormat="1" spans="1:12">
      <c r="A12" s="2" t="s">
        <v>83</v>
      </c>
      <c r="B12" s="2" t="s">
        <v>10</v>
      </c>
      <c r="C12" s="9">
        <v>45784</v>
      </c>
      <c r="D12" s="2">
        <v>438</v>
      </c>
      <c r="E12" s="2">
        <v>316</v>
      </c>
      <c r="F12" s="2">
        <v>578</v>
      </c>
      <c r="G12" s="2">
        <v>622</v>
      </c>
      <c r="H12" s="4">
        <f t="shared" si="0"/>
        <v>0.721461187214612</v>
      </c>
      <c r="I12" s="4">
        <f t="shared" si="1"/>
        <v>1.07612456747405</v>
      </c>
      <c r="J12" s="7">
        <f ca="1">F12-IFERROR(VLOOKUP($A12,'0514'!$A$1:'0514'!G$48,6,FALSE),IFERROR(VLOOKUP($C12,'0514'!$C$1:'0514'!G$48,4,FALSE),F12-D12))</f>
        <v>17</v>
      </c>
      <c r="K12" s="8">
        <f ca="1">G12-IFERROR(VLOOKUP($A12,'0514'!$A$1:'0514'!H$44,7,FALSE),IFERROR(VLOOKUP($C12,'0514'!$C$1:'0514'!H$44,5,FALSE),G12-E12))</f>
        <v>0</v>
      </c>
      <c r="L12" s="4">
        <f ca="1" t="shared" si="2"/>
        <v>0</v>
      </c>
    </row>
    <row r="13" s="2" customFormat="1" spans="1:12">
      <c r="A13" s="2" t="s">
        <v>80</v>
      </c>
      <c r="B13" s="2" t="s">
        <v>10</v>
      </c>
      <c r="C13" s="9">
        <v>45783</v>
      </c>
      <c r="D13" s="2">
        <v>87</v>
      </c>
      <c r="E13" s="2">
        <v>16</v>
      </c>
      <c r="F13" s="2">
        <v>223</v>
      </c>
      <c r="G13" s="2">
        <v>216</v>
      </c>
      <c r="H13" s="4">
        <f t="shared" si="0"/>
        <v>0.183908045977011</v>
      </c>
      <c r="I13" s="4">
        <f t="shared" si="1"/>
        <v>0.968609865470852</v>
      </c>
      <c r="J13" s="7">
        <f ca="1">F13-IFERROR(VLOOKUP($A13,'0514'!$A$1:'0514'!G$48,6,FALSE),IFERROR(VLOOKUP($C13,'0514'!$C$1:'0514'!G$48,4,FALSE),F13-D13))</f>
        <v>6</v>
      </c>
      <c r="K13" s="8">
        <f ca="1">G13-IFERROR(VLOOKUP($A13,'0514'!$A$1:'0514'!H$44,7,FALSE),IFERROR(VLOOKUP($C13,'0514'!$C$1:'0514'!H$44,5,FALSE),G13-E13))</f>
        <v>0</v>
      </c>
      <c r="L13" s="4">
        <f ca="1" t="shared" si="2"/>
        <v>0</v>
      </c>
    </row>
    <row r="14" s="2" customFormat="1" spans="1:12">
      <c r="A14" s="2" t="s">
        <v>81</v>
      </c>
      <c r="B14" s="2" t="s">
        <v>10</v>
      </c>
      <c r="C14" s="9">
        <v>45783</v>
      </c>
      <c r="D14" s="2">
        <v>58</v>
      </c>
      <c r="E14" s="2">
        <v>6</v>
      </c>
      <c r="F14" s="2">
        <v>170</v>
      </c>
      <c r="G14" s="2">
        <v>209</v>
      </c>
      <c r="H14" s="4">
        <f t="shared" si="0"/>
        <v>0.103448275862069</v>
      </c>
      <c r="I14" s="4">
        <f t="shared" si="1"/>
        <v>1.22941176470588</v>
      </c>
      <c r="J14" s="7">
        <f ca="1">F14-IFERROR(VLOOKUP($A14,'0514'!$A$1:'0514'!G$48,6,FALSE),IFERROR(VLOOKUP($C14,'0514'!$C$1:'0514'!G$48,4,FALSE),F14-D14))</f>
        <v>25</v>
      </c>
      <c r="K14" s="8">
        <f ca="1">G14-IFERROR(VLOOKUP($A14,'0514'!$A$1:'0514'!H$44,7,FALSE),IFERROR(VLOOKUP($C14,'0514'!$C$1:'0514'!H$44,5,FALSE),G14-E14))</f>
        <v>0</v>
      </c>
      <c r="L14" s="4">
        <f ca="1" t="shared" si="2"/>
        <v>0</v>
      </c>
    </row>
    <row r="15" s="2" customFormat="1" spans="1:12">
      <c r="A15" s="2" t="s">
        <v>77</v>
      </c>
      <c r="B15" s="2" t="s">
        <v>10</v>
      </c>
      <c r="C15" s="9">
        <v>45782</v>
      </c>
      <c r="D15" s="2">
        <v>109</v>
      </c>
      <c r="E15" s="2">
        <v>16</v>
      </c>
      <c r="F15" s="2">
        <v>362</v>
      </c>
      <c r="G15" s="2">
        <v>220</v>
      </c>
      <c r="H15" s="4">
        <f t="shared" si="0"/>
        <v>0.146788990825688</v>
      </c>
      <c r="I15" s="4">
        <f t="shared" si="1"/>
        <v>0.607734806629834</v>
      </c>
      <c r="J15" s="7">
        <f ca="1">F15-IFERROR(VLOOKUP($A15,'0514'!$A$1:'0514'!G$48,6,FALSE),IFERROR(VLOOKUP($C15,'0514'!$C$1:'0514'!G$48,4,FALSE),F15-D15))</f>
        <v>5</v>
      </c>
      <c r="K15" s="8">
        <f ca="1">G15-IFERROR(VLOOKUP($A15,'0514'!$A$1:'0514'!H$44,7,FALSE),IFERROR(VLOOKUP($C15,'0514'!$C$1:'0514'!H$44,5,FALSE),G15-E15))</f>
        <v>0</v>
      </c>
      <c r="L15" s="4">
        <f ca="1" t="shared" si="2"/>
        <v>0</v>
      </c>
    </row>
    <row r="16" s="2" customFormat="1" spans="1:12">
      <c r="A16" s="2" t="s">
        <v>72</v>
      </c>
      <c r="B16" s="2" t="s">
        <v>10</v>
      </c>
      <c r="C16" s="9">
        <v>45781</v>
      </c>
      <c r="D16" s="2">
        <v>93</v>
      </c>
      <c r="E16" s="2">
        <v>75</v>
      </c>
      <c r="F16" s="2">
        <v>324</v>
      </c>
      <c r="G16" s="2">
        <v>659</v>
      </c>
      <c r="H16" s="4">
        <f t="shared" si="0"/>
        <v>0.806451612903226</v>
      </c>
      <c r="I16" s="4">
        <f t="shared" si="1"/>
        <v>2.03395061728395</v>
      </c>
      <c r="J16" s="7">
        <f ca="1">F16-IFERROR(VLOOKUP($A16,'0514'!$A$1:'0514'!G$48,6,FALSE),IFERROR(VLOOKUP($C16,'0514'!$C$1:'0514'!G$48,4,FALSE),F16-D16))</f>
        <v>7</v>
      </c>
      <c r="K16" s="8">
        <f ca="1">G16-IFERROR(VLOOKUP($A16,'0514'!$A$1:'0514'!H$44,7,FALSE),IFERROR(VLOOKUP($C16,'0514'!$C$1:'0514'!H$44,5,FALSE),G16-E16))</f>
        <v>0</v>
      </c>
      <c r="L16" s="4">
        <f ca="1" t="shared" si="2"/>
        <v>0</v>
      </c>
    </row>
    <row r="17" s="2" customFormat="1" spans="1:12">
      <c r="A17" s="2" t="s">
        <v>69</v>
      </c>
      <c r="B17" s="2" t="s">
        <v>10</v>
      </c>
      <c r="C17" s="9">
        <v>45780</v>
      </c>
      <c r="D17" s="2">
        <v>130</v>
      </c>
      <c r="E17" s="2">
        <v>18</v>
      </c>
      <c r="F17" s="2">
        <v>1263</v>
      </c>
      <c r="G17" s="2">
        <v>543</v>
      </c>
      <c r="H17" s="4">
        <f t="shared" si="0"/>
        <v>0.138461538461538</v>
      </c>
      <c r="I17" s="4">
        <f t="shared" si="1"/>
        <v>0.429928741092637</v>
      </c>
      <c r="J17" s="7">
        <f ca="1">F17-IFERROR(VLOOKUP($A17,'0514'!$A$1:'0514'!G$48,6,FALSE),IFERROR(VLOOKUP($C17,'0514'!$C$1:'0514'!G$48,4,FALSE),F17-D17))</f>
        <v>8</v>
      </c>
      <c r="K17" s="8">
        <f ca="1">G17-IFERROR(VLOOKUP($A17,'0514'!$A$1:'0514'!H$44,7,FALSE),IFERROR(VLOOKUP($C17,'0514'!$C$1:'0514'!H$44,5,FALSE),G17-E17))</f>
        <v>6</v>
      </c>
      <c r="L17" s="4">
        <f ca="1" t="shared" si="2"/>
        <v>0.75</v>
      </c>
    </row>
    <row r="18" s="2" customFormat="1" spans="1:12">
      <c r="A18" s="2" t="s">
        <v>68</v>
      </c>
      <c r="B18" s="2" t="s">
        <v>10</v>
      </c>
      <c r="C18" s="9">
        <v>45779</v>
      </c>
      <c r="D18" s="2">
        <v>37</v>
      </c>
      <c r="E18" s="2">
        <v>12</v>
      </c>
      <c r="F18" s="2">
        <v>208</v>
      </c>
      <c r="G18" s="2">
        <v>159</v>
      </c>
      <c r="H18" s="4">
        <f t="shared" si="0"/>
        <v>0.324324324324324</v>
      </c>
      <c r="I18" s="4">
        <f t="shared" si="1"/>
        <v>0.764423076923077</v>
      </c>
      <c r="J18" s="7">
        <f ca="1">F18-IFERROR(VLOOKUP($A18,'0514'!$A$1:'0514'!G$48,6,FALSE),IFERROR(VLOOKUP($C18,'0514'!$C$1:'0514'!G$48,4,FALSE),F18-D18))</f>
        <v>1</v>
      </c>
      <c r="K18" s="8">
        <f ca="1">G18-IFERROR(VLOOKUP($A18,'0514'!$A$1:'0514'!H$44,7,FALSE),IFERROR(VLOOKUP($C18,'0514'!$C$1:'0514'!H$44,5,FALSE),G18-E18))</f>
        <v>0</v>
      </c>
      <c r="L18" s="4">
        <f ca="1" t="shared" si="2"/>
        <v>0</v>
      </c>
    </row>
    <row r="19" s="2" customFormat="1" spans="1:13">
      <c r="A19" s="2" t="s">
        <v>11</v>
      </c>
      <c r="B19" s="2" t="s">
        <v>10</v>
      </c>
      <c r="C19" s="9">
        <v>45777</v>
      </c>
      <c r="D19" s="2">
        <v>54</v>
      </c>
      <c r="E19" s="2">
        <v>121</v>
      </c>
      <c r="F19" s="2">
        <v>199</v>
      </c>
      <c r="G19" s="2">
        <v>748</v>
      </c>
      <c r="H19" s="4">
        <f t="shared" si="0"/>
        <v>2.24074074074074</v>
      </c>
      <c r="I19" s="4">
        <f t="shared" si="1"/>
        <v>3.75879396984925</v>
      </c>
      <c r="J19" s="7">
        <f ca="1">F19-IFERROR(VLOOKUP($A19,'0514'!$A$1:'0514'!G$48,6,FALSE),IFERROR(VLOOKUP($C19,'0514'!$C$1:'0514'!G$48,4,FALSE),F19-D19))</f>
        <v>0</v>
      </c>
      <c r="K19" s="8">
        <f ca="1">G19-IFERROR(VLOOKUP($A19,'0514'!$A$1:'0514'!H$44,7,FALSE),IFERROR(VLOOKUP($C19,'0514'!$C$1:'0514'!H$44,5,FALSE),G19-E19))</f>
        <v>0</v>
      </c>
      <c r="L19" s="4">
        <f ca="1" t="shared" si="2"/>
        <v>0</v>
      </c>
      <c r="M19" s="2" t="s">
        <v>67</v>
      </c>
    </row>
    <row r="20" s="2" customFormat="1" spans="1:12">
      <c r="A20" s="2" t="s">
        <v>27</v>
      </c>
      <c r="B20" s="2" t="s">
        <v>10</v>
      </c>
      <c r="C20" s="9">
        <v>45769</v>
      </c>
      <c r="D20" s="2">
        <v>49</v>
      </c>
      <c r="E20" s="2">
        <v>28</v>
      </c>
      <c r="F20" s="2">
        <v>633</v>
      </c>
      <c r="G20" s="2">
        <v>362</v>
      </c>
      <c r="H20" s="4">
        <f t="shared" si="0"/>
        <v>0.571428571428571</v>
      </c>
      <c r="I20" s="4">
        <f t="shared" si="1"/>
        <v>0.571879936808847</v>
      </c>
      <c r="J20" s="7">
        <f ca="1">F20-IFERROR(VLOOKUP($A20,'0514'!$A$1:'0514'!G$48,6,FALSE),IFERROR(VLOOKUP($C20,'0514'!$C$1:'0514'!G$48,4,FALSE),F20-D20))</f>
        <v>22</v>
      </c>
      <c r="K20" s="8">
        <f ca="1">G20-IFERROR(VLOOKUP($A20,'0514'!$A$1:'0514'!H$44,7,FALSE),IFERROR(VLOOKUP($C20,'0514'!$C$1:'0514'!H$44,5,FALSE),G20-E20))</f>
        <v>0</v>
      </c>
      <c r="L20" s="4">
        <f ca="1" t="shared" si="2"/>
        <v>0</v>
      </c>
    </row>
    <row r="21" s="2" customFormat="1" spans="1:13">
      <c r="A21" s="2" t="s">
        <v>28</v>
      </c>
      <c r="B21" s="2" t="s">
        <v>10</v>
      </c>
      <c r="C21" s="9">
        <v>45768</v>
      </c>
      <c r="D21" s="2">
        <v>17</v>
      </c>
      <c r="E21" s="2">
        <v>6</v>
      </c>
      <c r="F21" s="2">
        <v>234</v>
      </c>
      <c r="G21" s="2">
        <v>609</v>
      </c>
      <c r="H21" s="4">
        <f t="shared" si="0"/>
        <v>0.352941176470588</v>
      </c>
      <c r="I21" s="4">
        <f t="shared" si="1"/>
        <v>2.6025641025641</v>
      </c>
      <c r="J21" s="7">
        <f ca="1">F21-IFERROR(VLOOKUP($A21,'0514'!$A$1:'0514'!G$48,6,FALSE),IFERROR(VLOOKUP($C21,'0514'!$C$1:'0514'!G$48,4,FALSE),F21-D21))</f>
        <v>6</v>
      </c>
      <c r="K21" s="8">
        <f ca="1">G21-IFERROR(VLOOKUP($A21,'0514'!$A$1:'0514'!H$44,7,FALSE),IFERROR(VLOOKUP($C21,'0514'!$C$1:'0514'!H$44,5,FALSE),G21-E21))</f>
        <v>0</v>
      </c>
      <c r="L21" s="4">
        <f ca="1" t="shared" si="2"/>
        <v>0</v>
      </c>
      <c r="M21" s="2" t="s">
        <v>104</v>
      </c>
    </row>
    <row r="22" s="2" customFormat="1" spans="1:13">
      <c r="A22" s="2" t="s">
        <v>34</v>
      </c>
      <c r="B22" s="2" t="s">
        <v>10</v>
      </c>
      <c r="C22" s="9">
        <v>45765</v>
      </c>
      <c r="D22" s="2">
        <v>12</v>
      </c>
      <c r="E22" s="2">
        <v>6</v>
      </c>
      <c r="F22" s="2">
        <v>417</v>
      </c>
      <c r="G22" s="2">
        <v>458</v>
      </c>
      <c r="H22" s="4">
        <f t="shared" si="0"/>
        <v>0.5</v>
      </c>
      <c r="I22" s="4">
        <f t="shared" si="1"/>
        <v>1.09832134292566</v>
      </c>
      <c r="J22" s="7">
        <f ca="1">F22-IFERROR(VLOOKUP($A22,'0514'!$A$1:'0514'!G$48,6,FALSE),IFERROR(VLOOKUP($C22,'0514'!$C$1:'0514'!G$48,4,FALSE),F22-D22))</f>
        <v>0</v>
      </c>
      <c r="K22" s="8">
        <f ca="1">G22-IFERROR(VLOOKUP($A22,'0514'!$A$1:'0514'!H$44,7,FALSE),IFERROR(VLOOKUP($C22,'0514'!$C$1:'0514'!H$44,5,FALSE),G22-E22))</f>
        <v>0</v>
      </c>
      <c r="L22" s="4">
        <f ca="1" t="shared" si="2"/>
        <v>0</v>
      </c>
      <c r="M22" s="2" t="s">
        <v>106</v>
      </c>
    </row>
    <row r="23" s="2" customFormat="1" spans="1:13">
      <c r="A23" s="2" t="s">
        <v>39</v>
      </c>
      <c r="B23" s="2" t="s">
        <v>10</v>
      </c>
      <c r="C23" s="9">
        <v>45763</v>
      </c>
      <c r="D23" s="2">
        <v>19</v>
      </c>
      <c r="E23" s="2">
        <v>16</v>
      </c>
      <c r="F23" s="2">
        <v>674</v>
      </c>
      <c r="G23" s="2">
        <v>386</v>
      </c>
      <c r="H23" s="4">
        <f t="shared" si="0"/>
        <v>0.842105263157895</v>
      </c>
      <c r="I23" s="4">
        <f t="shared" si="1"/>
        <v>0.572700296735905</v>
      </c>
      <c r="J23" s="7">
        <f ca="1">F23-IFERROR(VLOOKUP($A23,'0514'!$A$1:'0514'!G$48,6,FALSE),IFERROR(VLOOKUP($C23,'0514'!$C$1:'0514'!G$48,4,FALSE),F23-D23))</f>
        <v>2</v>
      </c>
      <c r="K23" s="8">
        <f ca="1">G23-IFERROR(VLOOKUP($A23,'0514'!$A$1:'0514'!H$44,7,FALSE),IFERROR(VLOOKUP($C23,'0514'!$C$1:'0514'!H$44,5,FALSE),G23-E23))</f>
        <v>0</v>
      </c>
      <c r="L23" s="4">
        <f ca="1" t="shared" si="2"/>
        <v>0</v>
      </c>
      <c r="M23" s="2" t="s">
        <v>90</v>
      </c>
    </row>
    <row r="24" s="2" customFormat="1" spans="1:12">
      <c r="A24" s="2" t="s">
        <v>46</v>
      </c>
      <c r="B24" s="2" t="s">
        <v>10</v>
      </c>
      <c r="C24" s="9">
        <v>45757</v>
      </c>
      <c r="D24" s="2">
        <v>16</v>
      </c>
      <c r="E24" s="2">
        <v>6</v>
      </c>
      <c r="F24" s="2">
        <v>653</v>
      </c>
      <c r="G24" s="2">
        <v>769</v>
      </c>
      <c r="H24" s="4">
        <f t="shared" si="0"/>
        <v>0.375</v>
      </c>
      <c r="I24" s="4">
        <f t="shared" si="1"/>
        <v>1.17764165390505</v>
      </c>
      <c r="J24" s="7">
        <f ca="1">F24-IFERROR(VLOOKUP($A24,'0514'!$A$1:'0514'!G$48,6,FALSE),IFERROR(VLOOKUP($C24,'0514'!$C$1:'0514'!G$48,4,FALSE),F24-D24))</f>
        <v>2</v>
      </c>
      <c r="K24" s="8">
        <f ca="1">G24-IFERROR(VLOOKUP($A24,'0514'!$A$1:'0514'!H$44,7,FALSE),IFERROR(VLOOKUP($C24,'0514'!$C$1:'0514'!H$44,5,FALSE),G24-E24))</f>
        <v>0</v>
      </c>
      <c r="L24" s="4">
        <f ca="1" t="shared" si="2"/>
        <v>0</v>
      </c>
    </row>
    <row r="25" s="2" customFormat="1" spans="1:12">
      <c r="A25" s="2" t="s">
        <v>114</v>
      </c>
      <c r="B25" s="2" t="s">
        <v>10</v>
      </c>
      <c r="C25" s="9">
        <v>45756</v>
      </c>
      <c r="D25" s="2">
        <v>16</v>
      </c>
      <c r="E25" s="2">
        <v>5</v>
      </c>
      <c r="F25" s="2">
        <v>470</v>
      </c>
      <c r="G25" s="2">
        <v>619</v>
      </c>
      <c r="H25" s="4">
        <f t="shared" si="0"/>
        <v>0.3125</v>
      </c>
      <c r="I25" s="4">
        <f t="shared" si="1"/>
        <v>1.31702127659574</v>
      </c>
      <c r="J25" s="7">
        <f ca="1">F25-IFERROR(VLOOKUP($A25,'0514'!$A$1:'0514'!G$48,6,FALSE),IFERROR(VLOOKUP($C25,'0514'!$C$1:'0514'!G$48,4,FALSE),F25-D25))</f>
        <v>16</v>
      </c>
      <c r="K25" s="8">
        <f ca="1">G25-IFERROR(VLOOKUP($A25,'0514'!$A$1:'0514'!H$44,7,FALSE),IFERROR(VLOOKUP($C25,'0514'!$C$1:'0514'!H$44,5,FALSE),G25-E25))</f>
        <v>5</v>
      </c>
      <c r="L25" s="4">
        <f ca="1" t="shared" si="2"/>
        <v>0.3125</v>
      </c>
    </row>
    <row r="26" s="2" customFormat="1" spans="1:13">
      <c r="A26" s="2" t="s">
        <v>73</v>
      </c>
      <c r="B26" s="2" t="s">
        <v>10</v>
      </c>
      <c r="C26" s="9">
        <v>45755</v>
      </c>
      <c r="D26" s="2">
        <v>24</v>
      </c>
      <c r="E26" s="2">
        <v>10</v>
      </c>
      <c r="F26" s="2">
        <v>469</v>
      </c>
      <c r="G26" s="2">
        <v>521</v>
      </c>
      <c r="H26" s="4">
        <f t="shared" si="0"/>
        <v>0.416666666666667</v>
      </c>
      <c r="I26" s="4">
        <f t="shared" si="1"/>
        <v>1.11087420042644</v>
      </c>
      <c r="J26" s="7">
        <f ca="1">F26-IFERROR(VLOOKUP($A26,'0514'!$A$1:'0514'!G$48,6,FALSE),IFERROR(VLOOKUP($C26,'0514'!$C$1:'0514'!G$48,4,FALSE),F26-D26))</f>
        <v>5</v>
      </c>
      <c r="K26" s="8">
        <f ca="1">G26-IFERROR(VLOOKUP($A26,'0514'!$A$1:'0514'!H$44,7,FALSE),IFERROR(VLOOKUP($C26,'0514'!$C$1:'0514'!H$44,5,FALSE),G26-E26))</f>
        <v>0</v>
      </c>
      <c r="L26" s="4">
        <f ca="1" t="shared" si="2"/>
        <v>0</v>
      </c>
      <c r="M26" s="2" t="s">
        <v>74</v>
      </c>
    </row>
    <row r="27" s="2" customFormat="1" spans="1:13">
      <c r="A27" s="2" t="s">
        <v>96</v>
      </c>
      <c r="B27" s="2" t="s">
        <v>10</v>
      </c>
      <c r="C27" s="9">
        <v>45752</v>
      </c>
      <c r="D27" s="2">
        <v>45</v>
      </c>
      <c r="E27" s="2">
        <v>11</v>
      </c>
      <c r="F27" s="2">
        <v>9574</v>
      </c>
      <c r="G27" s="2">
        <v>1168</v>
      </c>
      <c r="H27" s="4">
        <f t="shared" si="0"/>
        <v>0.244444444444444</v>
      </c>
      <c r="I27" s="4">
        <f t="shared" si="1"/>
        <v>0.121997075412576</v>
      </c>
      <c r="J27" s="7">
        <f ca="1">F27-IFERROR(VLOOKUP($A27,'0514'!$A$1:'0514'!G$48,6,FALSE),IFERROR(VLOOKUP($C27,'0514'!$C$1:'0514'!G$48,4,FALSE),F27-D27))</f>
        <v>4</v>
      </c>
      <c r="K27" s="8">
        <f ca="1">G27-IFERROR(VLOOKUP($A27,'0514'!$A$1:'0514'!H$44,7,FALSE),IFERROR(VLOOKUP($C27,'0514'!$C$1:'0514'!H$44,5,FALSE),G27-E27))</f>
        <v>0</v>
      </c>
      <c r="L27" s="4">
        <f ca="1" t="shared" si="2"/>
        <v>0</v>
      </c>
      <c r="M27" s="2" t="s">
        <v>97</v>
      </c>
    </row>
    <row r="28" s="2" customFormat="1" spans="1:13">
      <c r="A28" s="2" t="s">
        <v>52</v>
      </c>
      <c r="B28" s="2" t="s">
        <v>10</v>
      </c>
      <c r="C28" s="9">
        <v>45743</v>
      </c>
      <c r="D28" s="2">
        <v>175</v>
      </c>
      <c r="E28" s="2">
        <v>70</v>
      </c>
      <c r="F28" s="2">
        <v>5123</v>
      </c>
      <c r="G28" s="2">
        <v>2071</v>
      </c>
      <c r="H28" s="4">
        <f t="shared" si="0"/>
        <v>0.4</v>
      </c>
      <c r="I28" s="4">
        <f t="shared" si="1"/>
        <v>0.404255319148936</v>
      </c>
      <c r="J28" s="7">
        <f ca="1">F28-IFERROR(VLOOKUP($A28,'0514'!$A$1:'0514'!G$48,6,FALSE),IFERROR(VLOOKUP($C28,'0514'!$C$1:'0514'!G$48,4,FALSE),F28-D28))</f>
        <v>26</v>
      </c>
      <c r="K28" s="8">
        <f ca="1">G28-IFERROR(VLOOKUP($A28,'0514'!$A$1:'0514'!H$44,7,FALSE),IFERROR(VLOOKUP($C28,'0514'!$C$1:'0514'!H$44,5,FALSE),G28-E28))</f>
        <v>25</v>
      </c>
      <c r="L28" s="4">
        <f ca="1" t="shared" si="2"/>
        <v>0.961538461538462</v>
      </c>
      <c r="M28" s="2" t="s">
        <v>53</v>
      </c>
    </row>
    <row r="29" s="2" customFormat="1" spans="1:13">
      <c r="A29" s="2" t="s">
        <v>56</v>
      </c>
      <c r="B29" s="2" t="s">
        <v>10</v>
      </c>
      <c r="C29" s="9">
        <v>45734</v>
      </c>
      <c r="D29" s="2">
        <v>12</v>
      </c>
      <c r="E29" s="2">
        <v>5</v>
      </c>
      <c r="F29" s="2">
        <v>521</v>
      </c>
      <c r="G29" s="2">
        <v>680</v>
      </c>
      <c r="H29" s="4">
        <f t="shared" si="0"/>
        <v>0.416666666666667</v>
      </c>
      <c r="I29" s="4">
        <f t="shared" si="1"/>
        <v>1.30518234165067</v>
      </c>
      <c r="J29" s="7">
        <f ca="1">F29-IFERROR(VLOOKUP($A29,'0514'!$A$1:'0514'!G$48,6,FALSE),IFERROR(VLOOKUP($C29,'0514'!$C$1:'0514'!G$48,4,FALSE),F29-D29))</f>
        <v>1</v>
      </c>
      <c r="K29" s="8">
        <f ca="1">G29-IFERROR(VLOOKUP($A29,'0514'!$A$1:'0514'!H$44,7,FALSE),IFERROR(VLOOKUP($C29,'0514'!$C$1:'0514'!H$44,5,FALSE),G29-E29))</f>
        <v>0</v>
      </c>
      <c r="L29" s="4">
        <f ca="1" t="shared" si="2"/>
        <v>0</v>
      </c>
      <c r="M29" s="2" t="s">
        <v>79</v>
      </c>
    </row>
    <row r="30" s="2" customFormat="1" spans="1:14">
      <c r="A30" s="2" t="s">
        <v>98</v>
      </c>
      <c r="B30" s="2" t="s">
        <v>10</v>
      </c>
      <c r="C30" s="9">
        <v>45731</v>
      </c>
      <c r="D30" s="2">
        <v>116</v>
      </c>
      <c r="E30" s="2">
        <v>416</v>
      </c>
      <c r="F30" s="2">
        <v>326</v>
      </c>
      <c r="G30" s="2">
        <v>753</v>
      </c>
      <c r="H30" s="4">
        <f t="shared" si="0"/>
        <v>3.58620689655172</v>
      </c>
      <c r="I30" s="4">
        <f t="shared" si="1"/>
        <v>2.30981595092025</v>
      </c>
      <c r="J30" s="7">
        <f ca="1">F30-IFERROR(VLOOKUP($A30,'0514'!$A$1:'0514'!G$48,6,FALSE),IFERROR(VLOOKUP($C30,'0514'!$C$1:'0514'!G$48,4,FALSE),F30-D30))</f>
        <v>11</v>
      </c>
      <c r="K30" s="8">
        <f ca="1">G30-IFERROR(VLOOKUP($A30,'0514'!$A$1:'0514'!H$44,7,FALSE),IFERROR(VLOOKUP($C30,'0514'!$C$1:'0514'!H$44,5,FALSE),G30-E30))</f>
        <v>31</v>
      </c>
      <c r="L30" s="4">
        <f ca="1" t="shared" si="2"/>
        <v>2.81818181818182</v>
      </c>
      <c r="M30" s="2" t="s">
        <v>99</v>
      </c>
      <c r="N30" s="2" t="s">
        <v>100</v>
      </c>
    </row>
    <row r="31" s="2" customFormat="1" spans="1:13">
      <c r="A31" s="2" t="s">
        <v>110</v>
      </c>
      <c r="B31" s="2" t="s">
        <v>10</v>
      </c>
      <c r="C31" s="9">
        <v>45686</v>
      </c>
      <c r="D31" s="2">
        <v>8</v>
      </c>
      <c r="E31" s="2">
        <v>3</v>
      </c>
      <c r="F31" s="2">
        <v>450</v>
      </c>
      <c r="G31" s="2">
        <v>347</v>
      </c>
      <c r="H31" s="4">
        <f t="shared" si="0"/>
        <v>0.375</v>
      </c>
      <c r="I31" s="4">
        <f t="shared" si="1"/>
        <v>0.771111111111111</v>
      </c>
      <c r="J31" s="7">
        <f ca="1">F31-IFERROR(VLOOKUP($A31,'0514'!$A$1:'0514'!G$48,6,FALSE),IFERROR(VLOOKUP($C31,'0514'!$C$1:'0514'!G$48,4,FALSE),F31-D31))</f>
        <v>3</v>
      </c>
      <c r="K31" s="8">
        <f ca="1">G31-IFERROR(VLOOKUP($A31,'0514'!$A$1:'0514'!H$44,7,FALSE),IFERROR(VLOOKUP($C31,'0514'!$C$1:'0514'!H$44,5,FALSE),G31-E31))</f>
        <v>0</v>
      </c>
      <c r="L31" s="4">
        <f ca="1" t="shared" si="2"/>
        <v>0</v>
      </c>
      <c r="M31" s="13" t="s">
        <v>111</v>
      </c>
    </row>
    <row r="32" s="2" customFormat="1" spans="1:13">
      <c r="A32" s="2" t="s">
        <v>91</v>
      </c>
      <c r="B32" s="2" t="s">
        <v>10</v>
      </c>
      <c r="C32" s="9">
        <v>45474</v>
      </c>
      <c r="D32" s="2">
        <v>9</v>
      </c>
      <c r="E32" s="2">
        <v>1</v>
      </c>
      <c r="F32" s="2">
        <v>482</v>
      </c>
      <c r="G32" s="2">
        <v>37</v>
      </c>
      <c r="H32" s="4">
        <f t="shared" si="0"/>
        <v>0.111111111111111</v>
      </c>
      <c r="I32" s="4">
        <f t="shared" si="1"/>
        <v>0.0767634854771784</v>
      </c>
      <c r="J32" s="7">
        <f ca="1">F32-IFERROR(VLOOKUP($A32,'0514'!$A$1:'0514'!G$48,6,FALSE),IFERROR(VLOOKUP($C32,'0514'!$C$1:'0514'!G$48,4,FALSE),F32-D32))</f>
        <v>3</v>
      </c>
      <c r="K32" s="8">
        <f ca="1">G32-IFERROR(VLOOKUP($A32,'0514'!$A$1:'0514'!H$44,7,FALSE),IFERROR(VLOOKUP($C32,'0514'!$C$1:'0514'!H$44,5,FALSE),G32-E32))</f>
        <v>0</v>
      </c>
      <c r="L32" s="4">
        <f ca="1" t="shared" si="2"/>
        <v>0</v>
      </c>
      <c r="M32" s="2" t="s">
        <v>92</v>
      </c>
    </row>
    <row r="33" spans="11:11">
      <c r="K33" s="2">
        <f ca="1">SUM(K2:K32)</f>
        <v>799</v>
      </c>
    </row>
    <row r="39" spans="14:14">
      <c r="N39"/>
    </row>
    <row r="40" spans="13:13">
      <c r="M40" s="2" t="s">
        <v>102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3"/>
  <sheetViews>
    <sheetView topLeftCell="A7" workbookViewId="0">
      <selection activeCell="A29" sqref="$A29:$XFD29"/>
    </sheetView>
  </sheetViews>
  <sheetFormatPr defaultColWidth="10" defaultRowHeight="14.4"/>
  <cols>
    <col min="1" max="1" width="49.7777777777778" style="2" customWidth="1"/>
    <col min="2" max="2" width="0.222222222222222" style="2" customWidth="1"/>
    <col min="3" max="3" width="10" style="2"/>
    <col min="4" max="7" width="5" style="2" customWidth="1"/>
    <col min="8" max="9" width="6.77777777777778" style="2" customWidth="1"/>
    <col min="10" max="10" width="7.66666666666667" style="2" customWidth="1"/>
    <col min="11" max="12" width="6.77777777777778" style="2" customWidth="1"/>
    <col min="13" max="13" width="18.6666666666667" style="2" customWidth="1"/>
    <col min="14" max="14" width="19.6666666666667" style="2" customWidth="1"/>
    <col min="15" max="16384" width="10" style="2"/>
  </cols>
  <sheetData>
    <row r="1" s="2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J1" s="5" t="s">
        <v>7</v>
      </c>
      <c r="K1" s="5" t="s">
        <v>8</v>
      </c>
    </row>
    <row r="2" s="2" customFormat="1" spans="1:12">
      <c r="A2" s="2" t="s">
        <v>115</v>
      </c>
      <c r="B2" s="2" t="s">
        <v>10</v>
      </c>
      <c r="C2" s="9">
        <v>45792</v>
      </c>
      <c r="D2" s="2">
        <v>115</v>
      </c>
      <c r="E2" s="2">
        <v>183</v>
      </c>
      <c r="F2" s="2">
        <v>115</v>
      </c>
      <c r="G2" s="2">
        <v>183</v>
      </c>
      <c r="H2" s="4">
        <f>E2/D2</f>
        <v>1.59130434782609</v>
      </c>
      <c r="I2" s="4">
        <f>G2/F2</f>
        <v>1.59130434782609</v>
      </c>
      <c r="J2" s="7">
        <f ca="1">F2-IFERROR(VLOOKUP($A2,'0515'!$A$1:'0515'!G$48,6,FALSE),IFERROR(VLOOKUP($C2,'0515'!$C$1:'0515'!G$48,4,FALSE),F2-D2))</f>
        <v>115</v>
      </c>
      <c r="K2" s="8">
        <f ca="1">G2-IFERROR(VLOOKUP($A2,'0515'!$A$1:'0515'!H$44,7,FALSE),IFERROR(VLOOKUP($C2,'0515'!$C$1:'0515'!H$44,5,FALSE),G2-E2))</f>
        <v>183</v>
      </c>
      <c r="L2" s="4">
        <f ca="1">IFERROR(K2/J2,)</f>
        <v>1.59130434782609</v>
      </c>
    </row>
    <row r="3" s="2" customFormat="1" spans="1:12">
      <c r="A3" s="2" t="s">
        <v>116</v>
      </c>
      <c r="B3" s="2" t="s">
        <v>10</v>
      </c>
      <c r="C3" s="9">
        <v>45792</v>
      </c>
      <c r="D3" s="2">
        <v>49</v>
      </c>
      <c r="E3" s="2">
        <v>219</v>
      </c>
      <c r="F3" s="2">
        <v>49</v>
      </c>
      <c r="G3" s="2">
        <v>219</v>
      </c>
      <c r="H3" s="4">
        <f t="shared" ref="H3:H35" si="0">E3/D3</f>
        <v>4.46938775510204</v>
      </c>
      <c r="I3" s="4">
        <f t="shared" ref="I3:I35" si="1">G3/F3</f>
        <v>4.46938775510204</v>
      </c>
      <c r="J3" s="7">
        <f ca="1">F3-IFERROR(VLOOKUP($A3,'0515'!$A$1:'0515'!G$48,6,FALSE),IFERROR(VLOOKUP($C3,'0515'!$C$1:'0515'!G$48,4,FALSE),F3-D3))</f>
        <v>49</v>
      </c>
      <c r="K3" s="8">
        <f ca="1">G3-IFERROR(VLOOKUP($A3,'0515'!$A$1:'0515'!H$44,7,FALSE),IFERROR(VLOOKUP($C3,'0515'!$C$1:'0515'!H$44,5,FALSE),G3-E3))</f>
        <v>219</v>
      </c>
      <c r="L3" s="4">
        <f ca="1" t="shared" ref="L3:L35" si="2">IFERROR(K3/J3,)</f>
        <v>4.46938775510204</v>
      </c>
    </row>
    <row r="4" s="2" customFormat="1" spans="1:12">
      <c r="A4" s="2" t="s">
        <v>112</v>
      </c>
      <c r="B4" s="2" t="s">
        <v>10</v>
      </c>
      <c r="C4" s="9">
        <v>45791</v>
      </c>
      <c r="D4" s="2">
        <v>227</v>
      </c>
      <c r="E4" s="2">
        <v>165</v>
      </c>
      <c r="F4" s="2">
        <v>227</v>
      </c>
      <c r="G4" s="2">
        <v>165</v>
      </c>
      <c r="H4" s="4">
        <f t="shared" si="0"/>
        <v>0.726872246696035</v>
      </c>
      <c r="I4" s="4">
        <f t="shared" si="1"/>
        <v>0.726872246696035</v>
      </c>
      <c r="J4" s="7">
        <f ca="1">F4-IFERROR(VLOOKUP($A4,'0515'!$A$1:'0515'!G$48,6,FALSE),IFERROR(VLOOKUP($C4,'0515'!$C$1:'0515'!G$48,4,FALSE),F4-D4))</f>
        <v>98</v>
      </c>
      <c r="K4" s="8">
        <f ca="1">G4-IFERROR(VLOOKUP($A4,'0515'!$A$1:'0515'!H$44,7,FALSE),IFERROR(VLOOKUP($C4,'0515'!$C$1:'0515'!H$44,5,FALSE),G4-E4))</f>
        <v>34</v>
      </c>
      <c r="L4" s="4">
        <f ca="1" t="shared" si="2"/>
        <v>0.346938775510204</v>
      </c>
    </row>
    <row r="5" s="2" customFormat="1" spans="1:12">
      <c r="A5" s="2" t="s">
        <v>113</v>
      </c>
      <c r="B5" s="2" t="s">
        <v>10</v>
      </c>
      <c r="C5" s="9">
        <v>45791</v>
      </c>
      <c r="D5" s="2">
        <v>202</v>
      </c>
      <c r="E5" s="2">
        <v>256</v>
      </c>
      <c r="F5" s="2">
        <v>202</v>
      </c>
      <c r="G5" s="2">
        <v>256</v>
      </c>
      <c r="H5" s="4">
        <f t="shared" si="0"/>
        <v>1.26732673267327</v>
      </c>
      <c r="I5" s="4">
        <f t="shared" si="1"/>
        <v>1.26732673267327</v>
      </c>
      <c r="J5" s="7">
        <f ca="1">F5-IFERROR(VLOOKUP($A5,'0515'!$A$1:'0515'!G$48,6,FALSE),IFERROR(VLOOKUP($C5,'0515'!$C$1:'0515'!G$48,4,FALSE),F5-D5))</f>
        <v>35</v>
      </c>
      <c r="K5" s="8">
        <f ca="1">G5-IFERROR(VLOOKUP($A5,'0515'!$A$1:'0515'!H$44,7,FALSE),IFERROR(VLOOKUP($C5,'0515'!$C$1:'0515'!H$44,5,FALSE),G5-E5))</f>
        <v>47</v>
      </c>
      <c r="L5" s="4">
        <f ca="1" t="shared" si="2"/>
        <v>1.34285714285714</v>
      </c>
    </row>
    <row r="6" s="2" customFormat="1" spans="1:12">
      <c r="A6" s="2" t="s">
        <v>107</v>
      </c>
      <c r="B6" s="2" t="s">
        <v>10</v>
      </c>
      <c r="C6" s="9">
        <v>45790</v>
      </c>
      <c r="D6" s="2">
        <v>294</v>
      </c>
      <c r="E6" s="2">
        <v>294</v>
      </c>
      <c r="F6" s="2">
        <v>294</v>
      </c>
      <c r="G6" s="2">
        <v>294</v>
      </c>
      <c r="H6" s="4">
        <f t="shared" si="0"/>
        <v>1</v>
      </c>
      <c r="I6" s="4">
        <f t="shared" si="1"/>
        <v>1</v>
      </c>
      <c r="J6" s="7">
        <f ca="1">F6-IFERROR(VLOOKUP($A6,'0515'!$A$1:'0515'!G$48,6,FALSE),IFERROR(VLOOKUP($C6,'0515'!$C$1:'0515'!G$48,4,FALSE),F6-D6))</f>
        <v>34</v>
      </c>
      <c r="K6" s="8">
        <f ca="1">G6-IFERROR(VLOOKUP($A6,'0515'!$A$1:'0515'!H$44,7,FALSE),IFERROR(VLOOKUP($C6,'0515'!$C$1:'0515'!H$44,5,FALSE),G6-E6))</f>
        <v>6</v>
      </c>
      <c r="L6" s="4">
        <f ca="1" t="shared" si="2"/>
        <v>0.176470588235294</v>
      </c>
    </row>
    <row r="7" s="2" customFormat="1" spans="1:13">
      <c r="A7" s="2" t="s">
        <v>108</v>
      </c>
      <c r="B7" s="2" t="s">
        <v>10</v>
      </c>
      <c r="C7" s="9">
        <v>45790</v>
      </c>
      <c r="D7" s="2">
        <v>5384</v>
      </c>
      <c r="E7" s="2">
        <v>915</v>
      </c>
      <c r="F7" s="2">
        <v>5384</v>
      </c>
      <c r="G7" s="2">
        <v>915</v>
      </c>
      <c r="H7" s="4">
        <f t="shared" si="0"/>
        <v>0.169947994056464</v>
      </c>
      <c r="I7" s="4">
        <f t="shared" si="1"/>
        <v>0.169947994056464</v>
      </c>
      <c r="J7" s="7">
        <f ca="1">F7-IFERROR(VLOOKUP($A7,'0515'!$A$1:'0515'!G$48,6,FALSE),IFERROR(VLOOKUP($C7,'0515'!$C$1:'0515'!G$48,4,FALSE),F7-D7))</f>
        <v>5227</v>
      </c>
      <c r="K7" s="8">
        <f ca="1">G7-IFERROR(VLOOKUP($A7,'0515'!$A$1:'0515'!H$44,7,FALSE),IFERROR(VLOOKUP($C7,'0515'!$C$1:'0515'!H$44,5,FALSE),G7-E7))</f>
        <v>433</v>
      </c>
      <c r="L7" s="4">
        <f ca="1" t="shared" si="2"/>
        <v>0.0828391046489382</v>
      </c>
      <c r="M7" s="2" t="s">
        <v>109</v>
      </c>
    </row>
    <row r="8" s="2" customFormat="1" spans="1:12">
      <c r="A8" s="2" t="s">
        <v>105</v>
      </c>
      <c r="B8" s="2" t="s">
        <v>10</v>
      </c>
      <c r="C8" s="9">
        <v>45789</v>
      </c>
      <c r="D8" s="2">
        <v>168</v>
      </c>
      <c r="E8" s="2">
        <v>513</v>
      </c>
      <c r="F8" s="2">
        <v>168</v>
      </c>
      <c r="G8" s="2">
        <v>513</v>
      </c>
      <c r="H8" s="4">
        <f t="shared" si="0"/>
        <v>3.05357142857143</v>
      </c>
      <c r="I8" s="4">
        <f t="shared" si="1"/>
        <v>3.05357142857143</v>
      </c>
      <c r="J8" s="7">
        <f ca="1">F8-IFERROR(VLOOKUP($A8,'0515'!$A$1:'0515'!G$48,6,FALSE),IFERROR(VLOOKUP($C8,'0515'!$C$1:'0515'!G$48,4,FALSE),F8-D8))</f>
        <v>11</v>
      </c>
      <c r="K8" s="8">
        <f ca="1">G8-IFERROR(VLOOKUP($A8,'0515'!$A$1:'0515'!H$44,7,FALSE),IFERROR(VLOOKUP($C8,'0515'!$C$1:'0515'!H$44,5,FALSE),G8-E8))</f>
        <v>0</v>
      </c>
      <c r="L8" s="4">
        <f ca="1" t="shared" si="2"/>
        <v>0</v>
      </c>
    </row>
    <row r="9" s="2" customFormat="1" spans="1:12">
      <c r="A9" s="2" t="s">
        <v>103</v>
      </c>
      <c r="B9" s="2" t="s">
        <v>10</v>
      </c>
      <c r="C9" s="9">
        <v>45788</v>
      </c>
      <c r="D9" s="2">
        <v>295</v>
      </c>
      <c r="E9" s="2">
        <v>674</v>
      </c>
      <c r="F9" s="2">
        <v>295</v>
      </c>
      <c r="G9" s="2">
        <v>674</v>
      </c>
      <c r="H9" s="4">
        <f t="shared" si="0"/>
        <v>2.28474576271186</v>
      </c>
      <c r="I9" s="4">
        <f t="shared" si="1"/>
        <v>2.28474576271186</v>
      </c>
      <c r="J9" s="7">
        <f ca="1">F9-IFERROR(VLOOKUP($A9,'0515'!$A$1:'0515'!G$48,6,FALSE),IFERROR(VLOOKUP($C9,'0515'!$C$1:'0515'!G$48,4,FALSE),F9-D9))</f>
        <v>32</v>
      </c>
      <c r="K9" s="8">
        <f ca="1">G9-IFERROR(VLOOKUP($A9,'0515'!$A$1:'0515'!H$44,7,FALSE),IFERROR(VLOOKUP($C9,'0515'!$C$1:'0515'!H$44,5,FALSE),G9-E9))</f>
        <v>6</v>
      </c>
      <c r="L9" s="4">
        <f ca="1" t="shared" si="2"/>
        <v>0.1875</v>
      </c>
    </row>
    <row r="10" s="2" customFormat="1" spans="1:12">
      <c r="A10" s="2" t="s">
        <v>101</v>
      </c>
      <c r="B10" s="2" t="s">
        <v>10</v>
      </c>
      <c r="C10" s="9">
        <v>45787</v>
      </c>
      <c r="D10" s="2">
        <v>183</v>
      </c>
      <c r="E10" s="2">
        <v>759</v>
      </c>
      <c r="F10" s="2">
        <v>183</v>
      </c>
      <c r="G10" s="2">
        <v>759</v>
      </c>
      <c r="H10" s="4">
        <f t="shared" si="0"/>
        <v>4.14754098360656</v>
      </c>
      <c r="I10" s="4">
        <f t="shared" si="1"/>
        <v>4.14754098360656</v>
      </c>
      <c r="J10" s="7">
        <f ca="1">F10-IFERROR(VLOOKUP($A10,'0515'!$A$1:'0515'!G$48,6,FALSE),IFERROR(VLOOKUP($C10,'0515'!$C$1:'0515'!G$48,4,FALSE),F10-D10))</f>
        <v>11</v>
      </c>
      <c r="K10" s="8">
        <f ca="1">G10-IFERROR(VLOOKUP($A10,'0515'!$A$1:'0515'!H$44,7,FALSE),IFERROR(VLOOKUP($C10,'0515'!$C$1:'0515'!H$44,5,FALSE),G10-E10))</f>
        <v>0</v>
      </c>
      <c r="L10" s="4">
        <f ca="1" t="shared" si="2"/>
        <v>0</v>
      </c>
    </row>
    <row r="11" s="2" customFormat="1" spans="1:13">
      <c r="A11" s="2" t="s">
        <v>93</v>
      </c>
      <c r="B11" s="2" t="s">
        <v>10</v>
      </c>
      <c r="C11" s="9">
        <v>45786</v>
      </c>
      <c r="D11" s="2">
        <v>301</v>
      </c>
      <c r="E11" s="2">
        <v>287</v>
      </c>
      <c r="F11" s="2">
        <v>301</v>
      </c>
      <c r="G11" s="2">
        <v>287</v>
      </c>
      <c r="H11" s="4">
        <f t="shared" si="0"/>
        <v>0.953488372093023</v>
      </c>
      <c r="I11" s="4">
        <f t="shared" si="1"/>
        <v>0.953488372093023</v>
      </c>
      <c r="J11" s="7">
        <f ca="1">F11-IFERROR(VLOOKUP($A11,'0515'!$A$1:'0515'!G$48,6,FALSE),IFERROR(VLOOKUP($C11,'0515'!$C$1:'0515'!G$48,4,FALSE),F11-D11))</f>
        <v>6</v>
      </c>
      <c r="K11" s="8">
        <f ca="1">G11-IFERROR(VLOOKUP($A11,'0515'!$A$1:'0515'!H$44,7,FALSE),IFERROR(VLOOKUP($C11,'0515'!$C$1:'0515'!H$44,5,FALSE),G11-E11))</f>
        <v>0</v>
      </c>
      <c r="L11" s="4">
        <f ca="1" t="shared" si="2"/>
        <v>0</v>
      </c>
      <c r="M11" s="2" t="s">
        <v>94</v>
      </c>
    </row>
    <row r="12" s="2" customFormat="1" spans="1:12">
      <c r="A12" s="2" t="s">
        <v>95</v>
      </c>
      <c r="B12" s="2" t="s">
        <v>10</v>
      </c>
      <c r="C12" s="9">
        <v>45786</v>
      </c>
      <c r="D12" s="2">
        <v>369</v>
      </c>
      <c r="E12" s="2">
        <v>363</v>
      </c>
      <c r="F12" s="2">
        <v>369</v>
      </c>
      <c r="G12" s="2">
        <v>363</v>
      </c>
      <c r="H12" s="4">
        <f t="shared" si="0"/>
        <v>0.983739837398374</v>
      </c>
      <c r="I12" s="4">
        <f t="shared" si="1"/>
        <v>0.983739837398374</v>
      </c>
      <c r="J12" s="7">
        <f ca="1">F12-IFERROR(VLOOKUP($A12,'0515'!$A$1:'0515'!G$48,6,FALSE),IFERROR(VLOOKUP($C12,'0515'!$C$1:'0515'!G$48,4,FALSE),F12-D12))</f>
        <v>3</v>
      </c>
      <c r="K12" s="8">
        <f ca="1">G12-IFERROR(VLOOKUP($A12,'0515'!$A$1:'0515'!H$44,7,FALSE),IFERROR(VLOOKUP($C12,'0515'!$C$1:'0515'!H$44,5,FALSE),G12-E12))</f>
        <v>0</v>
      </c>
      <c r="L12" s="4">
        <f ca="1" t="shared" si="2"/>
        <v>0</v>
      </c>
    </row>
    <row r="13" s="2" customFormat="1" spans="1:12">
      <c r="A13" s="2" t="s">
        <v>88</v>
      </c>
      <c r="B13" s="2" t="s">
        <v>10</v>
      </c>
      <c r="C13" s="9">
        <v>45785</v>
      </c>
      <c r="D13" s="2">
        <v>112</v>
      </c>
      <c r="E13" s="2">
        <v>33</v>
      </c>
      <c r="F13" s="2">
        <v>305</v>
      </c>
      <c r="G13" s="2">
        <v>195</v>
      </c>
      <c r="H13" s="4">
        <f t="shared" si="0"/>
        <v>0.294642857142857</v>
      </c>
      <c r="I13" s="4">
        <f t="shared" si="1"/>
        <v>0.639344262295082</v>
      </c>
      <c r="J13" s="7">
        <f ca="1">F13-IFERROR(VLOOKUP($A13,'0515'!$A$1:'0515'!G$48,6,FALSE),IFERROR(VLOOKUP($C13,'0515'!$C$1:'0515'!G$48,4,FALSE),F13-D13))</f>
        <v>1</v>
      </c>
      <c r="K13" s="8">
        <f ca="1">G13-IFERROR(VLOOKUP($A13,'0515'!$A$1:'0515'!H$44,7,FALSE),IFERROR(VLOOKUP($C13,'0515'!$C$1:'0515'!H$44,5,FALSE),G13-E13))</f>
        <v>0</v>
      </c>
      <c r="L13" s="4">
        <f ca="1" t="shared" si="2"/>
        <v>0</v>
      </c>
    </row>
    <row r="14" s="2" customFormat="1" spans="1:12">
      <c r="A14" s="2" t="s">
        <v>83</v>
      </c>
      <c r="B14" s="2" t="s">
        <v>10</v>
      </c>
      <c r="C14" s="9">
        <v>45784</v>
      </c>
      <c r="D14" s="2">
        <v>311</v>
      </c>
      <c r="E14" s="2">
        <v>14</v>
      </c>
      <c r="F14" s="2">
        <v>596</v>
      </c>
      <c r="G14" s="2">
        <v>622</v>
      </c>
      <c r="H14" s="4">
        <f t="shared" si="0"/>
        <v>0.045016077170418</v>
      </c>
      <c r="I14" s="4">
        <f t="shared" si="1"/>
        <v>1.04362416107383</v>
      </c>
      <c r="J14" s="7">
        <f ca="1">F14-IFERROR(VLOOKUP($A14,'0515'!$A$1:'0515'!G$48,6,FALSE),IFERROR(VLOOKUP($C14,'0515'!$C$1:'0515'!G$48,4,FALSE),F14-D14))</f>
        <v>18</v>
      </c>
      <c r="K14" s="8">
        <f ca="1">G14-IFERROR(VLOOKUP($A14,'0515'!$A$1:'0515'!H$44,7,FALSE),IFERROR(VLOOKUP($C14,'0515'!$C$1:'0515'!H$44,5,FALSE),G14-E14))</f>
        <v>0</v>
      </c>
      <c r="L14" s="4">
        <f ca="1" t="shared" si="2"/>
        <v>0</v>
      </c>
    </row>
    <row r="15" s="2" customFormat="1" spans="1:12">
      <c r="A15" s="2" t="s">
        <v>80</v>
      </c>
      <c r="B15" s="2" t="s">
        <v>10</v>
      </c>
      <c r="C15" s="9">
        <v>45783</v>
      </c>
      <c r="D15" s="2">
        <v>62</v>
      </c>
      <c r="E15" s="2">
        <v>12</v>
      </c>
      <c r="F15" s="2">
        <v>223</v>
      </c>
      <c r="G15" s="2">
        <v>216</v>
      </c>
      <c r="H15" s="4">
        <f t="shared" si="0"/>
        <v>0.193548387096774</v>
      </c>
      <c r="I15" s="4">
        <f t="shared" si="1"/>
        <v>0.968609865470852</v>
      </c>
      <c r="J15" s="7">
        <f ca="1">F15-IFERROR(VLOOKUP($A15,'0515'!$A$1:'0515'!G$48,6,FALSE),IFERROR(VLOOKUP($C15,'0515'!$C$1:'0515'!G$48,4,FALSE),F15-D15))</f>
        <v>0</v>
      </c>
      <c r="K15" s="8">
        <f ca="1">G15-IFERROR(VLOOKUP($A15,'0515'!$A$1:'0515'!H$44,7,FALSE),IFERROR(VLOOKUP($C15,'0515'!$C$1:'0515'!H$44,5,FALSE),G15-E15))</f>
        <v>0</v>
      </c>
      <c r="L15" s="4">
        <f ca="1" t="shared" si="2"/>
        <v>0</v>
      </c>
    </row>
    <row r="16" s="2" customFormat="1" spans="1:12">
      <c r="A16" s="2" t="s">
        <v>81</v>
      </c>
      <c r="B16" s="2" t="s">
        <v>10</v>
      </c>
      <c r="C16" s="9">
        <v>45783</v>
      </c>
      <c r="D16" s="2">
        <v>61</v>
      </c>
      <c r="E16" s="2">
        <v>6</v>
      </c>
      <c r="F16" s="2">
        <v>188</v>
      </c>
      <c r="G16" s="2">
        <v>209</v>
      </c>
      <c r="H16" s="4">
        <f t="shared" si="0"/>
        <v>0.0983606557377049</v>
      </c>
      <c r="I16" s="4">
        <f t="shared" si="1"/>
        <v>1.11170212765957</v>
      </c>
      <c r="J16" s="7">
        <f ca="1">F16-IFERROR(VLOOKUP($A16,'0515'!$A$1:'0515'!G$48,6,FALSE),IFERROR(VLOOKUP($C16,'0515'!$C$1:'0515'!G$48,4,FALSE),F16-D16))</f>
        <v>18</v>
      </c>
      <c r="K16" s="8">
        <f ca="1">G16-IFERROR(VLOOKUP($A16,'0515'!$A$1:'0515'!H$44,7,FALSE),IFERROR(VLOOKUP($C16,'0515'!$C$1:'0515'!H$44,5,FALSE),G16-E16))</f>
        <v>0</v>
      </c>
      <c r="L16" s="4">
        <f ca="1" t="shared" si="2"/>
        <v>0</v>
      </c>
    </row>
    <row r="17" s="2" customFormat="1" spans="1:12">
      <c r="A17" s="2" t="s">
        <v>77</v>
      </c>
      <c r="B17" s="2" t="s">
        <v>10</v>
      </c>
      <c r="C17" s="9">
        <v>45782</v>
      </c>
      <c r="D17" s="2">
        <v>68</v>
      </c>
      <c r="E17" s="2">
        <v>12</v>
      </c>
      <c r="F17" s="2">
        <v>364</v>
      </c>
      <c r="G17" s="2">
        <v>220</v>
      </c>
      <c r="H17" s="4">
        <f t="shared" si="0"/>
        <v>0.176470588235294</v>
      </c>
      <c r="I17" s="4">
        <f t="shared" si="1"/>
        <v>0.604395604395604</v>
      </c>
      <c r="J17" s="7">
        <f ca="1">F17-IFERROR(VLOOKUP($A17,'0515'!$A$1:'0515'!G$48,6,FALSE),IFERROR(VLOOKUP($C17,'0515'!$C$1:'0515'!G$48,4,FALSE),F17-D17))</f>
        <v>2</v>
      </c>
      <c r="K17" s="8">
        <f ca="1">G17-IFERROR(VLOOKUP($A17,'0515'!$A$1:'0515'!H$44,7,FALSE),IFERROR(VLOOKUP($C17,'0515'!$C$1:'0515'!H$44,5,FALSE),G17-E17))</f>
        <v>0</v>
      </c>
      <c r="L17" s="4">
        <f ca="1" t="shared" si="2"/>
        <v>0</v>
      </c>
    </row>
    <row r="18" s="2" customFormat="1" spans="1:12">
      <c r="A18" s="2" t="s">
        <v>72</v>
      </c>
      <c r="B18" s="2" t="s">
        <v>10</v>
      </c>
      <c r="C18" s="9">
        <v>45781</v>
      </c>
      <c r="D18" s="2">
        <v>88</v>
      </c>
      <c r="E18" s="2">
        <v>56</v>
      </c>
      <c r="F18" s="2">
        <v>327</v>
      </c>
      <c r="G18" s="2">
        <v>665</v>
      </c>
      <c r="H18" s="4">
        <f t="shared" si="0"/>
        <v>0.636363636363636</v>
      </c>
      <c r="I18" s="4">
        <f t="shared" si="1"/>
        <v>2.03363914373089</v>
      </c>
      <c r="J18" s="7">
        <f ca="1">F18-IFERROR(VLOOKUP($A18,'0515'!$A$1:'0515'!G$48,6,FALSE),IFERROR(VLOOKUP($C18,'0515'!$C$1:'0515'!G$48,4,FALSE),F18-D18))</f>
        <v>3</v>
      </c>
      <c r="K18" s="8">
        <f ca="1">G18-IFERROR(VLOOKUP($A18,'0515'!$A$1:'0515'!H$44,7,FALSE),IFERROR(VLOOKUP($C18,'0515'!$C$1:'0515'!H$44,5,FALSE),G18-E18))</f>
        <v>6</v>
      </c>
      <c r="L18" s="4">
        <f ca="1" t="shared" si="2"/>
        <v>2</v>
      </c>
    </row>
    <row r="19" s="2" customFormat="1" spans="1:12">
      <c r="A19" s="2" t="s">
        <v>69</v>
      </c>
      <c r="B19" s="2" t="s">
        <v>10</v>
      </c>
      <c r="C19" s="9">
        <v>45780</v>
      </c>
      <c r="D19" s="2">
        <v>117</v>
      </c>
      <c r="E19" s="2">
        <v>18</v>
      </c>
      <c r="F19" s="2">
        <v>1289</v>
      </c>
      <c r="G19" s="2">
        <v>555</v>
      </c>
      <c r="H19" s="4">
        <f t="shared" si="0"/>
        <v>0.153846153846154</v>
      </c>
      <c r="I19" s="4">
        <f t="shared" si="1"/>
        <v>0.430566330488751</v>
      </c>
      <c r="J19" s="7">
        <f ca="1">F19-IFERROR(VLOOKUP($A19,'0515'!$A$1:'0515'!G$48,6,FALSE),IFERROR(VLOOKUP($C19,'0515'!$C$1:'0515'!G$48,4,FALSE),F19-D19))</f>
        <v>26</v>
      </c>
      <c r="K19" s="8">
        <f ca="1">G19-IFERROR(VLOOKUP($A19,'0515'!$A$1:'0515'!H$44,7,FALSE),IFERROR(VLOOKUP($C19,'0515'!$C$1:'0515'!H$44,5,FALSE),G19-E19))</f>
        <v>12</v>
      </c>
      <c r="L19" s="4">
        <f ca="1" t="shared" si="2"/>
        <v>0.461538461538462</v>
      </c>
    </row>
    <row r="20" s="2" customFormat="1" spans="1:12">
      <c r="A20" s="2" t="s">
        <v>68</v>
      </c>
      <c r="B20" s="2" t="s">
        <v>10</v>
      </c>
      <c r="C20" s="9">
        <v>45779</v>
      </c>
      <c r="D20" s="2">
        <v>35</v>
      </c>
      <c r="E20" s="2">
        <v>12</v>
      </c>
      <c r="F20" s="2">
        <v>211</v>
      </c>
      <c r="G20" s="2">
        <v>159</v>
      </c>
      <c r="H20" s="4">
        <f t="shared" si="0"/>
        <v>0.342857142857143</v>
      </c>
      <c r="I20" s="4">
        <f t="shared" si="1"/>
        <v>0.753554502369668</v>
      </c>
      <c r="J20" s="7">
        <f ca="1">F20-IFERROR(VLOOKUP($A20,'0515'!$A$1:'0515'!G$48,6,FALSE),IFERROR(VLOOKUP($C20,'0515'!$C$1:'0515'!G$48,4,FALSE),F20-D20))</f>
        <v>3</v>
      </c>
      <c r="K20" s="8">
        <f ca="1">G20-IFERROR(VLOOKUP($A20,'0515'!$A$1:'0515'!H$44,7,FALSE),IFERROR(VLOOKUP($C20,'0515'!$C$1:'0515'!H$44,5,FALSE),G20-E20))</f>
        <v>0</v>
      </c>
      <c r="L20" s="4">
        <f ca="1" t="shared" si="2"/>
        <v>0</v>
      </c>
    </row>
    <row r="21" s="2" customFormat="1" spans="1:13">
      <c r="A21" s="2" t="s">
        <v>9</v>
      </c>
      <c r="B21" s="2" t="s">
        <v>10</v>
      </c>
      <c r="C21" s="9">
        <v>45777</v>
      </c>
      <c r="D21" s="2">
        <v>26</v>
      </c>
      <c r="E21" s="2">
        <v>28</v>
      </c>
      <c r="F21" s="2">
        <v>265</v>
      </c>
      <c r="G21" s="2">
        <v>332</v>
      </c>
      <c r="H21" s="4">
        <f t="shared" si="0"/>
        <v>1.07692307692308</v>
      </c>
      <c r="I21" s="4">
        <f t="shared" si="1"/>
        <v>1.25283018867925</v>
      </c>
      <c r="J21" s="2">
        <v>26</v>
      </c>
      <c r="K21" s="2">
        <v>28</v>
      </c>
      <c r="L21" s="4">
        <f t="shared" si="2"/>
        <v>1.07692307692308</v>
      </c>
      <c r="M21" s="2" t="s">
        <v>117</v>
      </c>
    </row>
    <row r="22" s="2" customFormat="1" spans="1:13">
      <c r="A22" s="2" t="s">
        <v>11</v>
      </c>
      <c r="B22" s="2" t="s">
        <v>10</v>
      </c>
      <c r="C22" s="9">
        <v>45777</v>
      </c>
      <c r="D22" s="2">
        <v>42</v>
      </c>
      <c r="E22" s="2">
        <v>70</v>
      </c>
      <c r="F22" s="2">
        <v>200</v>
      </c>
      <c r="G22" s="2">
        <v>748</v>
      </c>
      <c r="H22" s="4">
        <f t="shared" si="0"/>
        <v>1.66666666666667</v>
      </c>
      <c r="I22" s="4">
        <f t="shared" si="1"/>
        <v>3.74</v>
      </c>
      <c r="J22" s="7">
        <f ca="1">F22-IFERROR(VLOOKUP($A22,'0515'!$A$1:'0515'!G$48,6,FALSE),IFERROR(VLOOKUP($C22,'0515'!$C$1:'0515'!G$48,4,FALSE),F22-D22))</f>
        <v>1</v>
      </c>
      <c r="K22" s="8">
        <f ca="1">G22-IFERROR(VLOOKUP($A22,'0515'!$A$1:'0515'!H$44,7,FALSE),IFERROR(VLOOKUP($C22,'0515'!$C$1:'0515'!H$44,5,FALSE),G22-E22))</f>
        <v>0</v>
      </c>
      <c r="L22" s="4">
        <f ca="1" t="shared" si="2"/>
        <v>0</v>
      </c>
      <c r="M22" s="2" t="s">
        <v>67</v>
      </c>
    </row>
    <row r="23" s="2" customFormat="1" spans="1:12">
      <c r="A23" s="2" t="s">
        <v>27</v>
      </c>
      <c r="B23" s="2" t="s">
        <v>10</v>
      </c>
      <c r="C23" s="9">
        <v>45769</v>
      </c>
      <c r="D23" s="2">
        <v>51</v>
      </c>
      <c r="E23" s="2">
        <v>28</v>
      </c>
      <c r="F23" s="2">
        <v>642</v>
      </c>
      <c r="G23" s="2">
        <v>362</v>
      </c>
      <c r="H23" s="4">
        <f t="shared" si="0"/>
        <v>0.549019607843137</v>
      </c>
      <c r="I23" s="4">
        <f t="shared" si="1"/>
        <v>0.56386292834891</v>
      </c>
      <c r="J23" s="7">
        <f ca="1">F23-IFERROR(VLOOKUP($A23,'0515'!$A$1:'0515'!G$48,6,FALSE),IFERROR(VLOOKUP($C23,'0515'!$C$1:'0515'!G$48,4,FALSE),F23-D23))</f>
        <v>9</v>
      </c>
      <c r="K23" s="8">
        <f ca="1">G23-IFERROR(VLOOKUP($A23,'0515'!$A$1:'0515'!H$44,7,FALSE),IFERROR(VLOOKUP($C23,'0515'!$C$1:'0515'!H$44,5,FALSE),G23-E23))</f>
        <v>0</v>
      </c>
      <c r="L23" s="4">
        <f ca="1" t="shared" si="2"/>
        <v>0</v>
      </c>
    </row>
    <row r="24" s="2" customFormat="1" spans="1:13">
      <c r="A24" s="2" t="s">
        <v>28</v>
      </c>
      <c r="B24" s="2" t="s">
        <v>10</v>
      </c>
      <c r="C24" s="9">
        <v>45768</v>
      </c>
      <c r="D24" s="2">
        <v>16</v>
      </c>
      <c r="E24" s="2">
        <v>6</v>
      </c>
      <c r="F24" s="2">
        <v>235</v>
      </c>
      <c r="G24" s="2">
        <v>609</v>
      </c>
      <c r="H24" s="4">
        <f t="shared" si="0"/>
        <v>0.375</v>
      </c>
      <c r="I24" s="4">
        <f t="shared" si="1"/>
        <v>2.59148936170213</v>
      </c>
      <c r="J24" s="7">
        <f ca="1">F24-IFERROR(VLOOKUP($A24,'0515'!$A$1:'0515'!G$48,6,FALSE),IFERROR(VLOOKUP($C24,'0515'!$C$1:'0515'!G$48,4,FALSE),F24-D24))</f>
        <v>1</v>
      </c>
      <c r="K24" s="8">
        <f ca="1">G24-IFERROR(VLOOKUP($A24,'0515'!$A$1:'0515'!H$44,7,FALSE),IFERROR(VLOOKUP($C24,'0515'!$C$1:'0515'!H$44,5,FALSE),G24-E24))</f>
        <v>0</v>
      </c>
      <c r="L24" s="4">
        <f ca="1" t="shared" si="2"/>
        <v>0</v>
      </c>
      <c r="M24" s="2" t="s">
        <v>104</v>
      </c>
    </row>
    <row r="25" s="2" customFormat="1" spans="1:13">
      <c r="A25" s="2" t="s">
        <v>34</v>
      </c>
      <c r="B25" s="2" t="s">
        <v>10</v>
      </c>
      <c r="C25" s="9">
        <v>45765</v>
      </c>
      <c r="D25" s="2">
        <v>12</v>
      </c>
      <c r="E25" s="2">
        <v>6</v>
      </c>
      <c r="F25" s="2">
        <v>417</v>
      </c>
      <c r="G25" s="2">
        <v>458</v>
      </c>
      <c r="H25" s="4">
        <f t="shared" si="0"/>
        <v>0.5</v>
      </c>
      <c r="I25" s="4">
        <f t="shared" si="1"/>
        <v>1.09832134292566</v>
      </c>
      <c r="J25" s="7">
        <f ca="1">F25-IFERROR(VLOOKUP($A25,'0515'!$A$1:'0515'!G$48,6,FALSE),IFERROR(VLOOKUP($C25,'0515'!$C$1:'0515'!G$48,4,FALSE),F25-D25))</f>
        <v>0</v>
      </c>
      <c r="K25" s="8">
        <f ca="1">G25-IFERROR(VLOOKUP($A25,'0515'!$A$1:'0515'!H$44,7,FALSE),IFERROR(VLOOKUP($C25,'0515'!$C$1:'0515'!H$44,5,FALSE),G25-E25))</f>
        <v>0</v>
      </c>
      <c r="L25" s="4">
        <f ca="1" t="shared" si="2"/>
        <v>0</v>
      </c>
      <c r="M25" s="2" t="s">
        <v>106</v>
      </c>
    </row>
    <row r="26" s="2" customFormat="1" spans="1:13">
      <c r="A26" s="2" t="s">
        <v>39</v>
      </c>
      <c r="B26" s="2" t="s">
        <v>10</v>
      </c>
      <c r="C26" s="9">
        <v>45763</v>
      </c>
      <c r="D26" s="2">
        <v>20</v>
      </c>
      <c r="E26" s="2">
        <v>8</v>
      </c>
      <c r="F26" s="2">
        <v>677</v>
      </c>
      <c r="G26" s="2">
        <v>386</v>
      </c>
      <c r="H26" s="4">
        <f t="shared" si="0"/>
        <v>0.4</v>
      </c>
      <c r="I26" s="4">
        <f t="shared" si="1"/>
        <v>0.570162481536189</v>
      </c>
      <c r="J26" s="7">
        <f ca="1">F26-IFERROR(VLOOKUP($A26,'0515'!$A$1:'0515'!G$48,6,FALSE),IFERROR(VLOOKUP($C26,'0515'!$C$1:'0515'!G$48,4,FALSE),F26-D26))</f>
        <v>3</v>
      </c>
      <c r="K26" s="8">
        <f ca="1">G26-IFERROR(VLOOKUP($A26,'0515'!$A$1:'0515'!H$44,7,FALSE),IFERROR(VLOOKUP($C26,'0515'!$C$1:'0515'!H$44,5,FALSE),G26-E26))</f>
        <v>0</v>
      </c>
      <c r="L26" s="4">
        <f ca="1" t="shared" si="2"/>
        <v>0</v>
      </c>
      <c r="M26" s="2" t="s">
        <v>90</v>
      </c>
    </row>
    <row r="27" s="2" customFormat="1" spans="1:13">
      <c r="A27" s="2" t="s">
        <v>118</v>
      </c>
      <c r="B27" s="2" t="s">
        <v>10</v>
      </c>
      <c r="C27" s="9">
        <v>45759</v>
      </c>
      <c r="D27" s="2">
        <v>1</v>
      </c>
      <c r="E27" s="2">
        <v>5</v>
      </c>
      <c r="F27" s="2">
        <v>518</v>
      </c>
      <c r="G27" s="2">
        <v>647</v>
      </c>
      <c r="H27" s="4">
        <f t="shared" si="0"/>
        <v>5</v>
      </c>
      <c r="I27" s="4">
        <f t="shared" si="1"/>
        <v>1.24903474903475</v>
      </c>
      <c r="J27" s="7">
        <f ca="1">F27-IFERROR(VLOOKUP($A27,'0515'!$A$1:'0515'!G$48,6,FALSE),IFERROR(VLOOKUP($C27,'0515'!$C$1:'0515'!G$48,4,FALSE),F27-D27))</f>
        <v>1</v>
      </c>
      <c r="K27" s="8">
        <f ca="1">G27-IFERROR(VLOOKUP($A27,'0515'!$A$1:'0515'!H$44,7,FALSE),IFERROR(VLOOKUP($C27,'0515'!$C$1:'0515'!H$44,5,FALSE),G27-E27))</f>
        <v>5</v>
      </c>
      <c r="L27" s="4">
        <f ca="1" t="shared" si="2"/>
        <v>5</v>
      </c>
      <c r="M27" s="2" t="s">
        <v>119</v>
      </c>
    </row>
    <row r="28" s="2" customFormat="1" spans="1:12">
      <c r="A28" s="2" t="s">
        <v>46</v>
      </c>
      <c r="B28" s="2" t="s">
        <v>10</v>
      </c>
      <c r="C28" s="9">
        <v>45757</v>
      </c>
      <c r="D28" s="2">
        <v>13</v>
      </c>
      <c r="E28" s="2">
        <v>6</v>
      </c>
      <c r="F28" s="2">
        <v>653</v>
      </c>
      <c r="G28" s="2">
        <v>769</v>
      </c>
      <c r="H28" s="4">
        <f t="shared" si="0"/>
        <v>0.461538461538462</v>
      </c>
      <c r="I28" s="4">
        <f t="shared" si="1"/>
        <v>1.17764165390505</v>
      </c>
      <c r="J28" s="7">
        <f ca="1">F28-IFERROR(VLOOKUP($A28,'0515'!$A$1:'0515'!G$48,6,FALSE),IFERROR(VLOOKUP($C28,'0515'!$C$1:'0515'!G$48,4,FALSE),F28-D28))</f>
        <v>0</v>
      </c>
      <c r="K28" s="8">
        <f ca="1">G28-IFERROR(VLOOKUP($A28,'0515'!$A$1:'0515'!H$44,7,FALSE),IFERROR(VLOOKUP($C28,'0515'!$C$1:'0515'!H$44,5,FALSE),G28-E28))</f>
        <v>0</v>
      </c>
      <c r="L28" s="4">
        <f ca="1" t="shared" si="2"/>
        <v>0</v>
      </c>
    </row>
    <row r="29" s="2" customFormat="1" spans="1:12">
      <c r="A29" s="2" t="s">
        <v>114</v>
      </c>
      <c r="B29" s="2" t="s">
        <v>10</v>
      </c>
      <c r="C29" s="9">
        <v>45756</v>
      </c>
      <c r="D29" s="2">
        <v>20</v>
      </c>
      <c r="E29" s="2">
        <v>5</v>
      </c>
      <c r="F29" s="2">
        <v>476</v>
      </c>
      <c r="G29" s="2">
        <v>619</v>
      </c>
      <c r="H29" s="4">
        <f t="shared" si="0"/>
        <v>0.25</v>
      </c>
      <c r="I29" s="4">
        <f t="shared" si="1"/>
        <v>1.30042016806723</v>
      </c>
      <c r="J29" s="7">
        <f ca="1">F29-IFERROR(VLOOKUP($A29,'0515'!$A$1:'0515'!G$48,6,FALSE),IFERROR(VLOOKUP($C29,'0515'!$C$1:'0515'!G$48,4,FALSE),F29-D29))</f>
        <v>6</v>
      </c>
      <c r="K29" s="8">
        <f ca="1">G29-IFERROR(VLOOKUP($A29,'0515'!$A$1:'0515'!H$44,7,FALSE),IFERROR(VLOOKUP($C29,'0515'!$C$1:'0515'!H$44,5,FALSE),G29-E29))</f>
        <v>0</v>
      </c>
      <c r="L29" s="4">
        <f ca="1" t="shared" si="2"/>
        <v>0</v>
      </c>
    </row>
    <row r="30" s="2" customFormat="1" spans="1:13">
      <c r="A30" s="2" t="s">
        <v>73</v>
      </c>
      <c r="B30" s="2" t="s">
        <v>10</v>
      </c>
      <c r="C30" s="9">
        <v>45755</v>
      </c>
      <c r="D30" s="2">
        <v>16</v>
      </c>
      <c r="E30" s="2">
        <v>10</v>
      </c>
      <c r="F30" s="2">
        <v>469</v>
      </c>
      <c r="G30" s="2">
        <v>521</v>
      </c>
      <c r="H30" s="4">
        <f t="shared" si="0"/>
        <v>0.625</v>
      </c>
      <c r="I30" s="4">
        <f t="shared" si="1"/>
        <v>1.11087420042644</v>
      </c>
      <c r="J30" s="7">
        <f ca="1">F30-IFERROR(VLOOKUP($A30,'0515'!$A$1:'0515'!G$48,6,FALSE),IFERROR(VLOOKUP($C30,'0515'!$C$1:'0515'!G$48,4,FALSE),F30-D30))</f>
        <v>0</v>
      </c>
      <c r="K30" s="8">
        <f ca="1">G30-IFERROR(VLOOKUP($A30,'0515'!$A$1:'0515'!H$44,7,FALSE),IFERROR(VLOOKUP($C30,'0515'!$C$1:'0515'!H$44,5,FALSE),G30-E30))</f>
        <v>0</v>
      </c>
      <c r="L30" s="4">
        <f ca="1" t="shared" si="2"/>
        <v>0</v>
      </c>
      <c r="M30" s="2" t="s">
        <v>74</v>
      </c>
    </row>
    <row r="31" s="2" customFormat="1" spans="1:13">
      <c r="A31" s="2" t="s">
        <v>96</v>
      </c>
      <c r="B31" s="2" t="s">
        <v>10</v>
      </c>
      <c r="C31" s="9">
        <v>45752</v>
      </c>
      <c r="D31" s="2">
        <v>39</v>
      </c>
      <c r="E31" s="2">
        <v>11</v>
      </c>
      <c r="F31" s="2">
        <v>9577</v>
      </c>
      <c r="G31" s="2">
        <v>1168</v>
      </c>
      <c r="H31" s="4">
        <f t="shared" si="0"/>
        <v>0.282051282051282</v>
      </c>
      <c r="I31" s="4">
        <f t="shared" si="1"/>
        <v>0.121958859768195</v>
      </c>
      <c r="J31" s="7">
        <f ca="1">F31-IFERROR(VLOOKUP($A31,'0515'!$A$1:'0515'!G$48,6,FALSE),IFERROR(VLOOKUP($C31,'0515'!$C$1:'0515'!G$48,4,FALSE),F31-D31))</f>
        <v>3</v>
      </c>
      <c r="K31" s="8">
        <f ca="1">G31-IFERROR(VLOOKUP($A31,'0515'!$A$1:'0515'!H$44,7,FALSE),IFERROR(VLOOKUP($C31,'0515'!$C$1:'0515'!H$44,5,FALSE),G31-E31))</f>
        <v>0</v>
      </c>
      <c r="L31" s="4">
        <f ca="1" t="shared" si="2"/>
        <v>0</v>
      </c>
      <c r="M31" s="2" t="s">
        <v>97</v>
      </c>
    </row>
    <row r="32" s="2" customFormat="1" spans="1:13">
      <c r="A32" s="2" t="s">
        <v>52</v>
      </c>
      <c r="B32" s="2" t="s">
        <v>10</v>
      </c>
      <c r="C32" s="9">
        <v>45743</v>
      </c>
      <c r="D32" s="2">
        <v>181</v>
      </c>
      <c r="E32" s="2">
        <v>90</v>
      </c>
      <c r="F32" s="2">
        <v>5164</v>
      </c>
      <c r="G32" s="2">
        <v>2091</v>
      </c>
      <c r="H32" s="4">
        <f t="shared" si="0"/>
        <v>0.497237569060773</v>
      </c>
      <c r="I32" s="4">
        <f t="shared" si="1"/>
        <v>0.404918667699458</v>
      </c>
      <c r="J32" s="7">
        <f ca="1">F32-IFERROR(VLOOKUP($A32,'0515'!$A$1:'0515'!G$48,6,FALSE),IFERROR(VLOOKUP($C32,'0515'!$C$1:'0515'!G$48,4,FALSE),F32-D32))</f>
        <v>41</v>
      </c>
      <c r="K32" s="8">
        <f ca="1">G32-IFERROR(VLOOKUP($A32,'0515'!$A$1:'0515'!H$44,7,FALSE),IFERROR(VLOOKUP($C32,'0515'!$C$1:'0515'!H$44,5,FALSE),G32-E32))</f>
        <v>20</v>
      </c>
      <c r="L32" s="4">
        <f ca="1" t="shared" si="2"/>
        <v>0.48780487804878</v>
      </c>
      <c r="M32" s="2" t="s">
        <v>53</v>
      </c>
    </row>
    <row r="33" s="2" customFormat="1" spans="1:13">
      <c r="A33" s="2" t="s">
        <v>56</v>
      </c>
      <c r="B33" s="2" t="s">
        <v>10</v>
      </c>
      <c r="C33" s="9">
        <v>45734</v>
      </c>
      <c r="D33" s="2">
        <v>13</v>
      </c>
      <c r="E33" s="2">
        <v>5</v>
      </c>
      <c r="F33" s="2">
        <v>523</v>
      </c>
      <c r="G33" s="2">
        <v>680</v>
      </c>
      <c r="H33" s="4">
        <f t="shared" si="0"/>
        <v>0.384615384615385</v>
      </c>
      <c r="I33" s="4">
        <f t="shared" si="1"/>
        <v>1.30019120458891</v>
      </c>
      <c r="J33" s="7">
        <f ca="1">F33-IFERROR(VLOOKUP($A33,'0515'!$A$1:'0515'!G$48,6,FALSE),IFERROR(VLOOKUP($C33,'0515'!$C$1:'0515'!G$48,4,FALSE),F33-D33))</f>
        <v>2</v>
      </c>
      <c r="K33" s="8">
        <f ca="1">G33-IFERROR(VLOOKUP($A33,'0515'!$A$1:'0515'!H$44,7,FALSE),IFERROR(VLOOKUP($C33,'0515'!$C$1:'0515'!H$44,5,FALSE),G33-E33))</f>
        <v>0</v>
      </c>
      <c r="L33" s="4">
        <f ca="1" t="shared" si="2"/>
        <v>0</v>
      </c>
      <c r="M33" s="2" t="s">
        <v>79</v>
      </c>
    </row>
    <row r="34" s="2" customFormat="1" spans="1:14">
      <c r="A34" s="2" t="s">
        <v>98</v>
      </c>
      <c r="B34" s="2" t="s">
        <v>10</v>
      </c>
      <c r="C34" s="9">
        <v>45731</v>
      </c>
      <c r="D34" s="2">
        <v>121</v>
      </c>
      <c r="E34" s="2">
        <v>416</v>
      </c>
      <c r="F34" s="2">
        <v>331</v>
      </c>
      <c r="G34" s="2">
        <v>753</v>
      </c>
      <c r="H34" s="4">
        <f t="shared" si="0"/>
        <v>3.43801652892562</v>
      </c>
      <c r="I34" s="4">
        <f t="shared" si="1"/>
        <v>2.27492447129909</v>
      </c>
      <c r="J34" s="7">
        <f ca="1">F34-IFERROR(VLOOKUP($A34,'0515'!$A$1:'0515'!G$48,6,FALSE),IFERROR(VLOOKUP($C34,'0515'!$C$1:'0515'!G$48,4,FALSE),F34-D34))</f>
        <v>5</v>
      </c>
      <c r="K34" s="8">
        <f ca="1">G34-IFERROR(VLOOKUP($A34,'0515'!$A$1:'0515'!H$44,7,FALSE),IFERROR(VLOOKUP($C34,'0515'!$C$1:'0515'!H$44,5,FALSE),G34-E34))</f>
        <v>0</v>
      </c>
      <c r="L34" s="4">
        <f ca="1" t="shared" si="2"/>
        <v>0</v>
      </c>
      <c r="M34" s="2" t="s">
        <v>99</v>
      </c>
      <c r="N34" s="2" t="s">
        <v>100</v>
      </c>
    </row>
    <row r="35" s="2" customFormat="1" spans="1:13">
      <c r="A35" s="2" t="s">
        <v>110</v>
      </c>
      <c r="B35" s="2" t="s">
        <v>10</v>
      </c>
      <c r="C35" s="9">
        <v>45686</v>
      </c>
      <c r="D35" s="2">
        <v>8</v>
      </c>
      <c r="E35" s="2">
        <v>3</v>
      </c>
      <c r="F35" s="2">
        <v>450</v>
      </c>
      <c r="G35" s="2">
        <v>347</v>
      </c>
      <c r="H35" s="4">
        <f t="shared" si="0"/>
        <v>0.375</v>
      </c>
      <c r="I35" s="4">
        <f t="shared" si="1"/>
        <v>0.771111111111111</v>
      </c>
      <c r="J35" s="7">
        <f ca="1">F35-IFERROR(VLOOKUP($A35,'0515'!$A$1:'0515'!G$48,6,FALSE),IFERROR(VLOOKUP($C35,'0515'!$C$1:'0515'!G$48,4,FALSE),F35-D35))</f>
        <v>0</v>
      </c>
      <c r="K35" s="8">
        <f ca="1">G35-IFERROR(VLOOKUP($A35,'0515'!$A$1:'0515'!H$44,7,FALSE),IFERROR(VLOOKUP($C35,'0515'!$C$1:'0515'!H$44,5,FALSE),G35-E35))</f>
        <v>0</v>
      </c>
      <c r="L35" s="4">
        <f ca="1" t="shared" si="2"/>
        <v>0</v>
      </c>
      <c r="M35" s="13" t="s">
        <v>111</v>
      </c>
    </row>
    <row r="36" spans="11:11">
      <c r="K36" s="2">
        <f ca="1">SUM(K2:K35)</f>
        <v>999</v>
      </c>
    </row>
    <row r="43" spans="13:14">
      <c r="M43" s="2" t="s">
        <v>102</v>
      </c>
      <c r="N43"/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3"/>
  <sheetViews>
    <sheetView topLeftCell="A13" workbookViewId="0">
      <selection activeCell="A15" sqref="$A15:$XFD15"/>
    </sheetView>
  </sheetViews>
  <sheetFormatPr defaultColWidth="10" defaultRowHeight="14.4"/>
  <cols>
    <col min="1" max="1" width="54.7777777777778" style="2" customWidth="1"/>
    <col min="2" max="2" width="10" style="2" hidden="1" customWidth="1"/>
    <col min="3" max="3" width="10.4444444444444" style="2" customWidth="1"/>
    <col min="4" max="7" width="5.44444444444444" style="2" customWidth="1"/>
    <col min="8" max="9" width="6.77777777777778" style="2" customWidth="1"/>
    <col min="10" max="10" width="7.66666666666667" style="2" customWidth="1"/>
    <col min="11" max="12" width="6.77777777777778" style="2" customWidth="1"/>
    <col min="13" max="13" width="18.6666666666667" style="2" customWidth="1"/>
    <col min="14" max="14" width="19.6666666666667" style="2" customWidth="1"/>
    <col min="15" max="16384" width="10" style="2"/>
  </cols>
  <sheetData>
    <row r="1" s="2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J1" s="5" t="s">
        <v>7</v>
      </c>
      <c r="K1" s="5" t="s">
        <v>8</v>
      </c>
    </row>
    <row r="2" s="2" customFormat="1" spans="1:12">
      <c r="A2" s="2" t="s">
        <v>120</v>
      </c>
      <c r="B2" s="2" t="s">
        <v>10</v>
      </c>
      <c r="C2" s="9">
        <v>45793</v>
      </c>
      <c r="D2" s="2">
        <v>107</v>
      </c>
      <c r="E2" s="2">
        <v>346</v>
      </c>
      <c r="F2" s="2">
        <v>107</v>
      </c>
      <c r="G2" s="2">
        <v>346</v>
      </c>
      <c r="H2" s="4">
        <f>E2/D2</f>
        <v>3.23364485981308</v>
      </c>
      <c r="I2" s="4">
        <f>G2/F2</f>
        <v>3.23364485981308</v>
      </c>
      <c r="J2" s="7">
        <f ca="1">F2-IFERROR(VLOOKUP($A2,'0516'!$A$1:'0516'!G$48,6,FALSE),IFERROR(VLOOKUP($C2,'0516'!$C$1:'0516'!G$48,4,FALSE),F2-D2))</f>
        <v>107</v>
      </c>
      <c r="K2" s="8">
        <f ca="1">G2-IFERROR(VLOOKUP($A2,'0516'!$A$1:'0516'!H$44,7,FALSE),IFERROR(VLOOKUP($C2,'0516'!$C$1:'0516'!H$44,5,FALSE),G2-E2))</f>
        <v>346</v>
      </c>
      <c r="L2" s="4">
        <f ca="1">IFERROR(K2/J2,)</f>
        <v>3.23364485981308</v>
      </c>
    </row>
    <row r="3" s="2" customFormat="1" spans="1:12">
      <c r="A3" s="2" t="s">
        <v>121</v>
      </c>
      <c r="B3" s="2" t="s">
        <v>10</v>
      </c>
      <c r="C3" s="9">
        <v>45793</v>
      </c>
      <c r="D3" s="2">
        <v>90</v>
      </c>
      <c r="E3" s="2">
        <v>179</v>
      </c>
      <c r="F3" s="2">
        <v>90</v>
      </c>
      <c r="G3" s="2">
        <v>179</v>
      </c>
      <c r="H3" s="4">
        <f t="shared" ref="H3:H38" si="0">E3/D3</f>
        <v>1.98888888888889</v>
      </c>
      <c r="I3" s="4">
        <f t="shared" ref="I3:I38" si="1">G3/F3</f>
        <v>1.98888888888889</v>
      </c>
      <c r="J3" s="7">
        <f ca="1">F3-IFERROR(VLOOKUP($A3,'0516'!$A$1:'0516'!G$48,6,FALSE),IFERROR(VLOOKUP($C3,'0516'!$C$1:'0516'!G$48,4,FALSE),F3-D3))</f>
        <v>90</v>
      </c>
      <c r="K3" s="8">
        <f ca="1">G3-IFERROR(VLOOKUP($A3,'0516'!$A$1:'0516'!H$44,7,FALSE),IFERROR(VLOOKUP($C3,'0516'!$C$1:'0516'!H$44,5,FALSE),G3-E3))</f>
        <v>179</v>
      </c>
      <c r="L3" s="4">
        <f ca="1" t="shared" ref="L3:L38" si="2">IFERROR(K3/J3,)</f>
        <v>1.98888888888889</v>
      </c>
    </row>
    <row r="4" s="2" customFormat="1" spans="1:12">
      <c r="A4" s="2" t="s">
        <v>115</v>
      </c>
      <c r="B4" s="2" t="s">
        <v>10</v>
      </c>
      <c r="C4" s="9">
        <v>45792</v>
      </c>
      <c r="D4" s="2">
        <v>203</v>
      </c>
      <c r="E4" s="2">
        <v>226</v>
      </c>
      <c r="F4" s="2">
        <v>203</v>
      </c>
      <c r="G4" s="2">
        <v>226</v>
      </c>
      <c r="H4" s="4">
        <f t="shared" si="0"/>
        <v>1.11330049261084</v>
      </c>
      <c r="I4" s="4">
        <f t="shared" si="1"/>
        <v>1.11330049261084</v>
      </c>
      <c r="J4" s="7">
        <f ca="1">F4-IFERROR(VLOOKUP($A4,'0516'!$A$1:'0516'!G$48,6,FALSE),IFERROR(VLOOKUP($C4,'0516'!$C$1:'0516'!G$48,4,FALSE),F4-D4))</f>
        <v>88</v>
      </c>
      <c r="K4" s="8">
        <f ca="1">G4-IFERROR(VLOOKUP($A4,'0516'!$A$1:'0516'!H$44,7,FALSE),IFERROR(VLOOKUP($C4,'0516'!$C$1:'0516'!H$44,5,FALSE),G4-E4))</f>
        <v>43</v>
      </c>
      <c r="L4" s="4">
        <f ca="1" t="shared" si="2"/>
        <v>0.488636363636364</v>
      </c>
    </row>
    <row r="5" s="2" customFormat="1" spans="1:12">
      <c r="A5" s="2" t="s">
        <v>116</v>
      </c>
      <c r="B5" s="2" t="s">
        <v>10</v>
      </c>
      <c r="C5" s="9">
        <v>45792</v>
      </c>
      <c r="D5" s="2">
        <v>94</v>
      </c>
      <c r="E5" s="2">
        <v>326</v>
      </c>
      <c r="F5" s="2">
        <v>94</v>
      </c>
      <c r="G5" s="2">
        <v>326</v>
      </c>
      <c r="H5" s="4">
        <f t="shared" si="0"/>
        <v>3.46808510638298</v>
      </c>
      <c r="I5" s="4">
        <f t="shared" si="1"/>
        <v>3.46808510638298</v>
      </c>
      <c r="J5" s="7">
        <f ca="1">F5-IFERROR(VLOOKUP($A5,'0516'!$A$1:'0516'!G$48,6,FALSE),IFERROR(VLOOKUP($C5,'0516'!$C$1:'0516'!G$48,4,FALSE),F5-D5))</f>
        <v>45</v>
      </c>
      <c r="K5" s="8">
        <f ca="1">G5-IFERROR(VLOOKUP($A5,'0516'!$A$1:'0516'!H$44,7,FALSE),IFERROR(VLOOKUP($C5,'0516'!$C$1:'0516'!H$44,5,FALSE),G5-E5))</f>
        <v>107</v>
      </c>
      <c r="L5" s="4">
        <f ca="1" t="shared" si="2"/>
        <v>2.37777777777778</v>
      </c>
    </row>
    <row r="6" s="2" customFormat="1" spans="1:12">
      <c r="A6" s="2" t="s">
        <v>112</v>
      </c>
      <c r="B6" s="2" t="s">
        <v>10</v>
      </c>
      <c r="C6" s="9">
        <v>45791</v>
      </c>
      <c r="D6" s="2">
        <v>269</v>
      </c>
      <c r="E6" s="2">
        <v>169</v>
      </c>
      <c r="F6" s="2">
        <v>269</v>
      </c>
      <c r="G6" s="2">
        <v>169</v>
      </c>
      <c r="H6" s="4">
        <f t="shared" si="0"/>
        <v>0.628252788104089</v>
      </c>
      <c r="I6" s="4">
        <f t="shared" si="1"/>
        <v>0.628252788104089</v>
      </c>
      <c r="J6" s="7">
        <f ca="1">F6-IFERROR(VLOOKUP($A6,'0516'!$A$1:'0516'!G$48,6,FALSE),IFERROR(VLOOKUP($C6,'0516'!$C$1:'0516'!G$48,4,FALSE),F6-D6))</f>
        <v>42</v>
      </c>
      <c r="K6" s="8">
        <f ca="1">G6-IFERROR(VLOOKUP($A6,'0516'!$A$1:'0516'!H$44,7,FALSE),IFERROR(VLOOKUP($C6,'0516'!$C$1:'0516'!H$44,5,FALSE),G6-E6))</f>
        <v>4</v>
      </c>
      <c r="L6" s="4">
        <f ca="1" t="shared" si="2"/>
        <v>0.0952380952380952</v>
      </c>
    </row>
    <row r="7" s="2" customFormat="1" spans="1:12">
      <c r="A7" s="2" t="s">
        <v>113</v>
      </c>
      <c r="B7" s="2" t="s">
        <v>10</v>
      </c>
      <c r="C7" s="9">
        <v>45791</v>
      </c>
      <c r="D7" s="2">
        <v>254</v>
      </c>
      <c r="E7" s="2">
        <v>264</v>
      </c>
      <c r="F7" s="2">
        <v>254</v>
      </c>
      <c r="G7" s="2">
        <v>264</v>
      </c>
      <c r="H7" s="4">
        <f t="shared" si="0"/>
        <v>1.03937007874016</v>
      </c>
      <c r="I7" s="4">
        <f t="shared" si="1"/>
        <v>1.03937007874016</v>
      </c>
      <c r="J7" s="7">
        <f ca="1">F7-IFERROR(VLOOKUP($A7,'0516'!$A$1:'0516'!G$48,6,FALSE),IFERROR(VLOOKUP($C7,'0516'!$C$1:'0516'!G$48,4,FALSE),F7-D7))</f>
        <v>52</v>
      </c>
      <c r="K7" s="8">
        <f ca="1">G7-IFERROR(VLOOKUP($A7,'0516'!$A$1:'0516'!H$44,7,FALSE),IFERROR(VLOOKUP($C7,'0516'!$C$1:'0516'!H$44,5,FALSE),G7-E7))</f>
        <v>8</v>
      </c>
      <c r="L7" s="4">
        <f ca="1" t="shared" si="2"/>
        <v>0.153846153846154</v>
      </c>
    </row>
    <row r="8" s="2" customFormat="1" spans="1:12">
      <c r="A8" s="2" t="s">
        <v>107</v>
      </c>
      <c r="B8" s="2" t="s">
        <v>10</v>
      </c>
      <c r="C8" s="9">
        <v>45790</v>
      </c>
      <c r="D8" s="2">
        <v>308</v>
      </c>
      <c r="E8" s="2">
        <v>306</v>
      </c>
      <c r="F8" s="2">
        <v>308</v>
      </c>
      <c r="G8" s="2">
        <v>306</v>
      </c>
      <c r="H8" s="4">
        <f t="shared" si="0"/>
        <v>0.993506493506494</v>
      </c>
      <c r="I8" s="4">
        <f t="shared" si="1"/>
        <v>0.993506493506494</v>
      </c>
      <c r="J8" s="7">
        <f ca="1">F8-IFERROR(VLOOKUP($A8,'0516'!$A$1:'0516'!G$48,6,FALSE),IFERROR(VLOOKUP($C8,'0516'!$C$1:'0516'!G$48,4,FALSE),F8-D8))</f>
        <v>14</v>
      </c>
      <c r="K8" s="8">
        <f ca="1">G8-IFERROR(VLOOKUP($A8,'0516'!$A$1:'0516'!H$44,7,FALSE),IFERROR(VLOOKUP($C8,'0516'!$C$1:'0516'!H$44,5,FALSE),G8-E8))</f>
        <v>12</v>
      </c>
      <c r="L8" s="4">
        <f ca="1" t="shared" si="2"/>
        <v>0.857142857142857</v>
      </c>
    </row>
    <row r="9" s="2" customFormat="1" spans="1:13">
      <c r="A9" s="2" t="s">
        <v>108</v>
      </c>
      <c r="B9" s="2" t="s">
        <v>10</v>
      </c>
      <c r="C9" s="9">
        <v>45790</v>
      </c>
      <c r="D9" s="2">
        <v>5454</v>
      </c>
      <c r="E9" s="2">
        <v>1148</v>
      </c>
      <c r="F9" s="2">
        <v>5454</v>
      </c>
      <c r="G9" s="2">
        <v>1148</v>
      </c>
      <c r="H9" s="4">
        <f t="shared" si="0"/>
        <v>0.21048771543821</v>
      </c>
      <c r="I9" s="4">
        <f t="shared" si="1"/>
        <v>0.21048771543821</v>
      </c>
      <c r="J9" s="7">
        <f ca="1">F9-IFERROR(VLOOKUP($A9,'0516'!$A$1:'0516'!G$48,6,FALSE),IFERROR(VLOOKUP($C9,'0516'!$C$1:'0516'!G$48,4,FALSE),F9-D9))</f>
        <v>70</v>
      </c>
      <c r="K9" s="8">
        <f ca="1">G9-IFERROR(VLOOKUP($A9,'0516'!$A$1:'0516'!H$44,7,FALSE),IFERROR(VLOOKUP($C9,'0516'!$C$1:'0516'!H$44,5,FALSE),G9-E9))</f>
        <v>233</v>
      </c>
      <c r="L9" s="4">
        <f ca="1" t="shared" si="2"/>
        <v>3.32857142857143</v>
      </c>
      <c r="M9" s="2" t="s">
        <v>109</v>
      </c>
    </row>
    <row r="10" s="2" customFormat="1" spans="1:12">
      <c r="A10" s="2" t="s">
        <v>105</v>
      </c>
      <c r="B10" s="2" t="s">
        <v>10</v>
      </c>
      <c r="C10" s="9">
        <v>45789</v>
      </c>
      <c r="D10" s="2">
        <v>169</v>
      </c>
      <c r="E10" s="2">
        <v>513</v>
      </c>
      <c r="F10" s="2">
        <v>169</v>
      </c>
      <c r="G10" s="2">
        <v>513</v>
      </c>
      <c r="H10" s="4">
        <f t="shared" si="0"/>
        <v>3.03550295857988</v>
      </c>
      <c r="I10" s="4">
        <f t="shared" si="1"/>
        <v>3.03550295857988</v>
      </c>
      <c r="J10" s="7">
        <f ca="1">F10-IFERROR(VLOOKUP($A10,'0516'!$A$1:'0516'!G$48,6,FALSE),IFERROR(VLOOKUP($C10,'0516'!$C$1:'0516'!G$48,4,FALSE),F10-D10))</f>
        <v>1</v>
      </c>
      <c r="K10" s="8">
        <f ca="1">G10-IFERROR(VLOOKUP($A10,'0516'!$A$1:'0516'!H$44,7,FALSE),IFERROR(VLOOKUP($C10,'0516'!$C$1:'0516'!H$44,5,FALSE),G10-E10))</f>
        <v>0</v>
      </c>
      <c r="L10" s="4">
        <f ca="1" t="shared" si="2"/>
        <v>0</v>
      </c>
    </row>
    <row r="11" s="2" customFormat="1" spans="1:12">
      <c r="A11" s="2" t="s">
        <v>103</v>
      </c>
      <c r="B11" s="2" t="s">
        <v>10</v>
      </c>
      <c r="C11" s="9">
        <v>45788</v>
      </c>
      <c r="D11" s="2">
        <v>300</v>
      </c>
      <c r="E11" s="2">
        <v>674</v>
      </c>
      <c r="F11" s="2">
        <v>300</v>
      </c>
      <c r="G11" s="2">
        <v>674</v>
      </c>
      <c r="H11" s="4">
        <f t="shared" si="0"/>
        <v>2.24666666666667</v>
      </c>
      <c r="I11" s="4">
        <f t="shared" si="1"/>
        <v>2.24666666666667</v>
      </c>
      <c r="J11" s="7">
        <f ca="1">F11-IFERROR(VLOOKUP($A11,'0516'!$A$1:'0516'!G$48,6,FALSE),IFERROR(VLOOKUP($C11,'0516'!$C$1:'0516'!G$48,4,FALSE),F11-D11))</f>
        <v>5</v>
      </c>
      <c r="K11" s="8">
        <f ca="1">G11-IFERROR(VLOOKUP($A11,'0516'!$A$1:'0516'!H$44,7,FALSE),IFERROR(VLOOKUP($C11,'0516'!$C$1:'0516'!H$44,5,FALSE),G11-E11))</f>
        <v>0</v>
      </c>
      <c r="L11" s="4">
        <f ca="1" t="shared" si="2"/>
        <v>0</v>
      </c>
    </row>
    <row r="12" s="2" customFormat="1" spans="1:12">
      <c r="A12" s="2" t="s">
        <v>101</v>
      </c>
      <c r="B12" s="2" t="s">
        <v>10</v>
      </c>
      <c r="C12" s="9">
        <v>45787</v>
      </c>
      <c r="D12" s="2">
        <v>189</v>
      </c>
      <c r="E12" s="2">
        <v>759</v>
      </c>
      <c r="F12" s="2">
        <v>189</v>
      </c>
      <c r="G12" s="2">
        <v>759</v>
      </c>
      <c r="H12" s="4">
        <f t="shared" si="0"/>
        <v>4.01587301587302</v>
      </c>
      <c r="I12" s="4">
        <f t="shared" si="1"/>
        <v>4.01587301587302</v>
      </c>
      <c r="J12" s="7">
        <f ca="1">F12-IFERROR(VLOOKUP($A12,'0516'!$A$1:'0516'!G$48,6,FALSE),IFERROR(VLOOKUP($C12,'0516'!$C$1:'0516'!G$48,4,FALSE),F12-D12))</f>
        <v>6</v>
      </c>
      <c r="K12" s="8">
        <f ca="1">G12-IFERROR(VLOOKUP($A12,'0516'!$A$1:'0516'!H$44,7,FALSE),IFERROR(VLOOKUP($C12,'0516'!$C$1:'0516'!H$44,5,FALSE),G12-E12))</f>
        <v>0</v>
      </c>
      <c r="L12" s="4">
        <f ca="1" t="shared" si="2"/>
        <v>0</v>
      </c>
    </row>
    <row r="13" s="2" customFormat="1" spans="1:13">
      <c r="A13" s="2" t="s">
        <v>93</v>
      </c>
      <c r="B13" s="2" t="s">
        <v>10</v>
      </c>
      <c r="C13" s="9">
        <v>45786</v>
      </c>
      <c r="D13" s="2">
        <v>204</v>
      </c>
      <c r="E13" s="2">
        <v>122</v>
      </c>
      <c r="F13" s="2">
        <v>307</v>
      </c>
      <c r="G13" s="2">
        <v>287</v>
      </c>
      <c r="H13" s="4">
        <f t="shared" si="0"/>
        <v>0.598039215686274</v>
      </c>
      <c r="I13" s="4">
        <f t="shared" si="1"/>
        <v>0.93485342019544</v>
      </c>
      <c r="J13" s="7">
        <f ca="1">F13-IFERROR(VLOOKUP($A13,'0516'!$A$1:'0516'!G$48,6,FALSE),IFERROR(VLOOKUP($C13,'0516'!$C$1:'0516'!G$48,4,FALSE),F13-D13))</f>
        <v>6</v>
      </c>
      <c r="K13" s="8">
        <f ca="1">G13-IFERROR(VLOOKUP($A13,'0516'!$A$1:'0516'!H$44,7,FALSE),IFERROR(VLOOKUP($C13,'0516'!$C$1:'0516'!H$44,5,FALSE),G13-E13))</f>
        <v>0</v>
      </c>
      <c r="L13" s="4">
        <f ca="1" t="shared" si="2"/>
        <v>0</v>
      </c>
      <c r="M13" s="2" t="s">
        <v>94</v>
      </c>
    </row>
    <row r="14" s="2" customFormat="1" spans="1:12">
      <c r="A14" s="2" t="s">
        <v>95</v>
      </c>
      <c r="B14" s="2" t="s">
        <v>10</v>
      </c>
      <c r="C14" s="9">
        <v>45786</v>
      </c>
      <c r="D14" s="2">
        <v>151</v>
      </c>
      <c r="E14" s="2">
        <v>185</v>
      </c>
      <c r="F14" s="2">
        <v>369</v>
      </c>
      <c r="G14" s="2">
        <v>363</v>
      </c>
      <c r="H14" s="4">
        <f t="shared" si="0"/>
        <v>1.22516556291391</v>
      </c>
      <c r="I14" s="4">
        <f t="shared" si="1"/>
        <v>0.983739837398374</v>
      </c>
      <c r="J14" s="7">
        <f ca="1">F14-IFERROR(VLOOKUP($A14,'0516'!$A$1:'0516'!G$48,6,FALSE),IFERROR(VLOOKUP($C14,'0516'!$C$1:'0516'!G$48,4,FALSE),F14-D14))</f>
        <v>0</v>
      </c>
      <c r="K14" s="8">
        <f ca="1">G14-IFERROR(VLOOKUP($A14,'0516'!$A$1:'0516'!H$44,7,FALSE),IFERROR(VLOOKUP($C14,'0516'!$C$1:'0516'!H$44,5,FALSE),G14-E14))</f>
        <v>0</v>
      </c>
      <c r="L14" s="4">
        <f ca="1" t="shared" si="2"/>
        <v>0</v>
      </c>
    </row>
    <row r="15" s="2" customFormat="1" spans="1:12">
      <c r="A15" s="2" t="s">
        <v>88</v>
      </c>
      <c r="B15" s="2" t="s">
        <v>10</v>
      </c>
      <c r="C15" s="9">
        <v>45785</v>
      </c>
      <c r="D15" s="2">
        <v>48</v>
      </c>
      <c r="E15" s="2">
        <v>8</v>
      </c>
      <c r="F15" s="2">
        <v>306</v>
      </c>
      <c r="G15" s="2">
        <v>195</v>
      </c>
      <c r="H15" s="4">
        <f t="shared" si="0"/>
        <v>0.166666666666667</v>
      </c>
      <c r="I15" s="4">
        <f t="shared" si="1"/>
        <v>0.637254901960784</v>
      </c>
      <c r="J15" s="7">
        <f ca="1">F15-IFERROR(VLOOKUP($A15,'0516'!$A$1:'0516'!G$48,6,FALSE),IFERROR(VLOOKUP($C15,'0516'!$C$1:'0516'!G$48,4,FALSE),F15-D15))</f>
        <v>1</v>
      </c>
      <c r="K15" s="8">
        <f ca="1">G15-IFERROR(VLOOKUP($A15,'0516'!$A$1:'0516'!H$44,7,FALSE),IFERROR(VLOOKUP($C15,'0516'!$C$1:'0516'!H$44,5,FALSE),G15-E15))</f>
        <v>0</v>
      </c>
      <c r="L15" s="4">
        <f ca="1" t="shared" si="2"/>
        <v>0</v>
      </c>
    </row>
    <row r="16" s="2" customFormat="1" spans="1:12">
      <c r="A16" s="2" t="s">
        <v>80</v>
      </c>
      <c r="B16" s="2" t="s">
        <v>10</v>
      </c>
      <c r="C16" s="9">
        <v>45783</v>
      </c>
      <c r="D16" s="2">
        <v>38</v>
      </c>
      <c r="E16" s="2">
        <v>4</v>
      </c>
      <c r="F16" s="2">
        <v>223</v>
      </c>
      <c r="G16" s="2">
        <v>216</v>
      </c>
      <c r="H16" s="4">
        <f t="shared" si="0"/>
        <v>0.105263157894737</v>
      </c>
      <c r="I16" s="4">
        <f t="shared" si="1"/>
        <v>0.968609865470852</v>
      </c>
      <c r="J16" s="7">
        <f ca="1">F16-IFERROR(VLOOKUP($A16,'0516'!$A$1:'0516'!G$48,6,FALSE),IFERROR(VLOOKUP($C16,'0516'!$C$1:'0516'!G$48,4,FALSE),F16-D16))</f>
        <v>0</v>
      </c>
      <c r="K16" s="8">
        <f ca="1">G16-IFERROR(VLOOKUP($A16,'0516'!$A$1:'0516'!H$44,7,FALSE),IFERROR(VLOOKUP($C16,'0516'!$C$1:'0516'!H$44,5,FALSE),G16-E16))</f>
        <v>0</v>
      </c>
      <c r="L16" s="4">
        <f ca="1" t="shared" si="2"/>
        <v>0</v>
      </c>
    </row>
    <row r="17" s="2" customFormat="1" spans="1:12">
      <c r="A17" s="2" t="s">
        <v>81</v>
      </c>
      <c r="B17" s="2" t="s">
        <v>10</v>
      </c>
      <c r="C17" s="9">
        <v>45783</v>
      </c>
      <c r="D17" s="2">
        <v>54</v>
      </c>
      <c r="E17" s="2">
        <v>6</v>
      </c>
      <c r="F17" s="2">
        <v>189</v>
      </c>
      <c r="G17" s="2">
        <v>209</v>
      </c>
      <c r="H17" s="4">
        <f t="shared" si="0"/>
        <v>0.111111111111111</v>
      </c>
      <c r="I17" s="4">
        <f t="shared" si="1"/>
        <v>1.10582010582011</v>
      </c>
      <c r="J17" s="7">
        <f ca="1">F17-IFERROR(VLOOKUP($A17,'0516'!$A$1:'0516'!G$48,6,FALSE),IFERROR(VLOOKUP($C17,'0516'!$C$1:'0516'!G$48,4,FALSE),F17-D17))</f>
        <v>1</v>
      </c>
      <c r="K17" s="8">
        <f ca="1">G17-IFERROR(VLOOKUP($A17,'0516'!$A$1:'0516'!H$44,7,FALSE),IFERROR(VLOOKUP($C17,'0516'!$C$1:'0516'!H$44,5,FALSE),G17-E17))</f>
        <v>0</v>
      </c>
      <c r="L17" s="4">
        <f ca="1" t="shared" si="2"/>
        <v>0</v>
      </c>
    </row>
    <row r="18" s="2" customFormat="1" spans="1:12">
      <c r="A18" s="2" t="s">
        <v>77</v>
      </c>
      <c r="B18" s="2" t="s">
        <v>10</v>
      </c>
      <c r="C18" s="9">
        <v>45782</v>
      </c>
      <c r="D18" s="2">
        <v>59</v>
      </c>
      <c r="E18" s="2">
        <v>12</v>
      </c>
      <c r="F18" s="2">
        <v>366</v>
      </c>
      <c r="G18" s="2">
        <v>220</v>
      </c>
      <c r="H18" s="4">
        <f t="shared" si="0"/>
        <v>0.203389830508475</v>
      </c>
      <c r="I18" s="4">
        <f t="shared" si="1"/>
        <v>0.601092896174863</v>
      </c>
      <c r="J18" s="7">
        <f ca="1">F18-IFERROR(VLOOKUP($A18,'0516'!$A$1:'0516'!G$48,6,FALSE),IFERROR(VLOOKUP($C18,'0516'!$C$1:'0516'!G$48,4,FALSE),F18-D18))</f>
        <v>2</v>
      </c>
      <c r="K18" s="8">
        <f ca="1">G18-IFERROR(VLOOKUP($A18,'0516'!$A$1:'0516'!H$44,7,FALSE),IFERROR(VLOOKUP($C18,'0516'!$C$1:'0516'!H$44,5,FALSE),G18-E18))</f>
        <v>0</v>
      </c>
      <c r="L18" s="4">
        <f ca="1" t="shared" si="2"/>
        <v>0</v>
      </c>
    </row>
    <row r="19" s="2" customFormat="1" spans="1:12">
      <c r="A19" s="2" t="s">
        <v>72</v>
      </c>
      <c r="B19" s="2" t="s">
        <v>10</v>
      </c>
      <c r="C19" s="9">
        <v>45781</v>
      </c>
      <c r="D19" s="2">
        <v>63</v>
      </c>
      <c r="E19" s="2">
        <v>50</v>
      </c>
      <c r="F19" s="2">
        <v>327</v>
      </c>
      <c r="G19" s="2">
        <v>665</v>
      </c>
      <c r="H19" s="4">
        <f t="shared" si="0"/>
        <v>0.793650793650794</v>
      </c>
      <c r="I19" s="4">
        <f t="shared" si="1"/>
        <v>2.03363914373089</v>
      </c>
      <c r="J19" s="7">
        <f ca="1">F19-IFERROR(VLOOKUP($A19,'0516'!$A$1:'0516'!G$48,6,FALSE),IFERROR(VLOOKUP($C19,'0516'!$C$1:'0516'!G$48,4,FALSE),F19-D19))</f>
        <v>0</v>
      </c>
      <c r="K19" s="8">
        <f ca="1">G19-IFERROR(VLOOKUP($A19,'0516'!$A$1:'0516'!H$44,7,FALSE),IFERROR(VLOOKUP($C19,'0516'!$C$1:'0516'!H$44,5,FALSE),G19-E19))</f>
        <v>0</v>
      </c>
      <c r="L19" s="4">
        <f ca="1" t="shared" si="2"/>
        <v>0</v>
      </c>
    </row>
    <row r="20" s="2" customFormat="1" spans="1:12">
      <c r="A20" s="2" t="s">
        <v>69</v>
      </c>
      <c r="B20" s="2" t="s">
        <v>10</v>
      </c>
      <c r="C20" s="9">
        <v>45780</v>
      </c>
      <c r="D20" s="2">
        <v>107</v>
      </c>
      <c r="E20" s="2">
        <v>24</v>
      </c>
      <c r="F20" s="2">
        <v>1325</v>
      </c>
      <c r="G20" s="2">
        <v>561</v>
      </c>
      <c r="H20" s="4">
        <f t="shared" si="0"/>
        <v>0.224299065420561</v>
      </c>
      <c r="I20" s="4">
        <f t="shared" si="1"/>
        <v>0.423396226415094</v>
      </c>
      <c r="J20" s="7">
        <f ca="1">F20-IFERROR(VLOOKUP($A20,'0516'!$A$1:'0516'!G$48,6,FALSE),IFERROR(VLOOKUP($C20,'0516'!$C$1:'0516'!G$48,4,FALSE),F20-D20))</f>
        <v>36</v>
      </c>
      <c r="K20" s="8">
        <f ca="1">G20-IFERROR(VLOOKUP($A20,'0516'!$A$1:'0516'!H$44,7,FALSE),IFERROR(VLOOKUP($C20,'0516'!$C$1:'0516'!H$44,5,FALSE),G20-E20))</f>
        <v>6</v>
      </c>
      <c r="L20" s="4">
        <f ca="1" t="shared" si="2"/>
        <v>0.166666666666667</v>
      </c>
    </row>
    <row r="21" s="2" customFormat="1" spans="1:12">
      <c r="A21" s="2" t="s">
        <v>68</v>
      </c>
      <c r="B21" s="2" t="s">
        <v>10</v>
      </c>
      <c r="C21" s="9">
        <v>45779</v>
      </c>
      <c r="D21" s="2">
        <v>25</v>
      </c>
      <c r="E21" s="2">
        <v>12</v>
      </c>
      <c r="F21" s="2">
        <v>217</v>
      </c>
      <c r="G21" s="2">
        <v>159</v>
      </c>
      <c r="H21" s="4">
        <f t="shared" si="0"/>
        <v>0.48</v>
      </c>
      <c r="I21" s="4">
        <f t="shared" si="1"/>
        <v>0.732718894009217</v>
      </c>
      <c r="J21" s="7">
        <f ca="1">F21-IFERROR(VLOOKUP($A21,'0516'!$A$1:'0516'!G$48,6,FALSE),IFERROR(VLOOKUP($C21,'0516'!$C$1:'0516'!G$48,4,FALSE),F21-D21))</f>
        <v>6</v>
      </c>
      <c r="K21" s="8">
        <f ca="1">G21-IFERROR(VLOOKUP($A21,'0516'!$A$1:'0516'!H$44,7,FALSE),IFERROR(VLOOKUP($C21,'0516'!$C$1:'0516'!H$44,5,FALSE),G21-E21))</f>
        <v>0</v>
      </c>
      <c r="L21" s="4">
        <f ca="1" t="shared" si="2"/>
        <v>0</v>
      </c>
    </row>
    <row r="22" s="2" customFormat="1" spans="1:13">
      <c r="A22" s="2" t="s">
        <v>9</v>
      </c>
      <c r="B22" s="2" t="s">
        <v>10</v>
      </c>
      <c r="C22" s="9">
        <v>45777</v>
      </c>
      <c r="D22" s="2">
        <v>45</v>
      </c>
      <c r="E22" s="2">
        <v>28</v>
      </c>
      <c r="F22" s="2">
        <v>284</v>
      </c>
      <c r="G22" s="2">
        <v>332</v>
      </c>
      <c r="H22" s="4">
        <f t="shared" si="0"/>
        <v>0.622222222222222</v>
      </c>
      <c r="I22" s="4">
        <f t="shared" si="1"/>
        <v>1.16901408450704</v>
      </c>
      <c r="J22" s="7">
        <f ca="1">F22-IFERROR(VLOOKUP($A22,'0516'!$A$1:'0516'!G$48,6,FALSE),IFERROR(VLOOKUP($C22,'0516'!$C$1:'0516'!G$48,4,FALSE),F22-D22))</f>
        <v>19</v>
      </c>
      <c r="K22" s="8">
        <f ca="1">G22-IFERROR(VLOOKUP($A22,'0516'!$A$1:'0516'!H$44,7,FALSE),IFERROR(VLOOKUP($C22,'0516'!$C$1:'0516'!H$44,5,FALSE),G22-E22))</f>
        <v>0</v>
      </c>
      <c r="L22" s="4">
        <f ca="1" t="shared" si="2"/>
        <v>0</v>
      </c>
      <c r="M22" s="2" t="s">
        <v>117</v>
      </c>
    </row>
    <row r="23" s="2" customFormat="1" spans="1:13">
      <c r="A23" s="2" t="s">
        <v>11</v>
      </c>
      <c r="B23" s="2" t="s">
        <v>10</v>
      </c>
      <c r="C23" s="9">
        <v>45777</v>
      </c>
      <c r="D23" s="2">
        <v>30</v>
      </c>
      <c r="E23" s="2">
        <v>64</v>
      </c>
      <c r="F23" s="2">
        <v>200</v>
      </c>
      <c r="G23" s="2">
        <v>748</v>
      </c>
      <c r="H23" s="4">
        <f t="shared" si="0"/>
        <v>2.13333333333333</v>
      </c>
      <c r="I23" s="4">
        <f t="shared" si="1"/>
        <v>3.74</v>
      </c>
      <c r="J23" s="7">
        <f ca="1">F23-IFERROR(VLOOKUP($A23,'0516'!$A$1:'0516'!G$48,6,FALSE),IFERROR(VLOOKUP($C23,'0516'!$C$1:'0516'!G$48,4,FALSE),F23-D23))</f>
        <v>0</v>
      </c>
      <c r="K23" s="8">
        <f ca="1">G23-IFERROR(VLOOKUP($A23,'0516'!$A$1:'0516'!H$44,7,FALSE),IFERROR(VLOOKUP($C23,'0516'!$C$1:'0516'!H$44,5,FALSE),G23-E23))</f>
        <v>0</v>
      </c>
      <c r="L23" s="4">
        <f ca="1" t="shared" si="2"/>
        <v>0</v>
      </c>
      <c r="M23" s="2" t="s">
        <v>67</v>
      </c>
    </row>
    <row r="24" s="2" customFormat="1" spans="1:12">
      <c r="A24" s="2" t="s">
        <v>27</v>
      </c>
      <c r="B24" s="2" t="s">
        <v>10</v>
      </c>
      <c r="C24" s="9">
        <v>45769</v>
      </c>
      <c r="D24" s="2">
        <v>49</v>
      </c>
      <c r="E24" s="2">
        <v>28</v>
      </c>
      <c r="F24" s="2">
        <v>644</v>
      </c>
      <c r="G24" s="2">
        <v>362</v>
      </c>
      <c r="H24" s="4">
        <f t="shared" si="0"/>
        <v>0.571428571428571</v>
      </c>
      <c r="I24" s="4">
        <f t="shared" si="1"/>
        <v>0.562111801242236</v>
      </c>
      <c r="J24" s="7">
        <f ca="1">F24-IFERROR(VLOOKUP($A24,'0516'!$A$1:'0516'!G$48,6,FALSE),IFERROR(VLOOKUP($C24,'0516'!$C$1:'0516'!G$48,4,FALSE),F24-D24))</f>
        <v>2</v>
      </c>
      <c r="K24" s="8">
        <f ca="1">G24-IFERROR(VLOOKUP($A24,'0516'!$A$1:'0516'!H$44,7,FALSE),IFERROR(VLOOKUP($C24,'0516'!$C$1:'0516'!H$44,5,FALSE),G24-E24))</f>
        <v>0</v>
      </c>
      <c r="L24" s="4">
        <f ca="1" t="shared" si="2"/>
        <v>0</v>
      </c>
    </row>
    <row r="25" s="2" customFormat="1" spans="1:13">
      <c r="A25" s="2" t="s">
        <v>28</v>
      </c>
      <c r="B25" s="2" t="s">
        <v>10</v>
      </c>
      <c r="C25" s="9">
        <v>45768</v>
      </c>
      <c r="D25" s="2">
        <v>16</v>
      </c>
      <c r="E25" s="2">
        <v>6</v>
      </c>
      <c r="F25" s="2">
        <v>235</v>
      </c>
      <c r="G25" s="2">
        <v>609</v>
      </c>
      <c r="H25" s="4">
        <f t="shared" si="0"/>
        <v>0.375</v>
      </c>
      <c r="I25" s="4">
        <f t="shared" si="1"/>
        <v>2.59148936170213</v>
      </c>
      <c r="J25" s="7">
        <f ca="1">F25-IFERROR(VLOOKUP($A25,'0516'!$A$1:'0516'!G$48,6,FALSE),IFERROR(VLOOKUP($C25,'0516'!$C$1:'0516'!G$48,4,FALSE),F25-D25))</f>
        <v>0</v>
      </c>
      <c r="K25" s="8">
        <f ca="1">G25-IFERROR(VLOOKUP($A25,'0516'!$A$1:'0516'!H$44,7,FALSE),IFERROR(VLOOKUP($C25,'0516'!$C$1:'0516'!H$44,5,FALSE),G25-E25))</f>
        <v>0</v>
      </c>
      <c r="L25" s="4">
        <f ca="1" t="shared" si="2"/>
        <v>0</v>
      </c>
      <c r="M25" s="2" t="s">
        <v>104</v>
      </c>
    </row>
    <row r="26" s="2" customFormat="1" spans="1:13">
      <c r="A26" s="2" t="s">
        <v>34</v>
      </c>
      <c r="B26" s="2" t="s">
        <v>10</v>
      </c>
      <c r="C26" s="9">
        <v>45765</v>
      </c>
      <c r="D26" s="2">
        <v>12</v>
      </c>
      <c r="E26" s="2">
        <v>6</v>
      </c>
      <c r="F26" s="2">
        <v>418</v>
      </c>
      <c r="G26" s="2">
        <v>458</v>
      </c>
      <c r="H26" s="4">
        <f t="shared" si="0"/>
        <v>0.5</v>
      </c>
      <c r="I26" s="4">
        <f t="shared" si="1"/>
        <v>1.09569377990431</v>
      </c>
      <c r="J26" s="7">
        <f ca="1">F26-IFERROR(VLOOKUP($A26,'0516'!$A$1:'0516'!G$48,6,FALSE),IFERROR(VLOOKUP($C26,'0516'!$C$1:'0516'!G$48,4,FALSE),F26-D26))</f>
        <v>1</v>
      </c>
      <c r="K26" s="8">
        <f ca="1">G26-IFERROR(VLOOKUP($A26,'0516'!$A$1:'0516'!H$44,7,FALSE),IFERROR(VLOOKUP($C26,'0516'!$C$1:'0516'!H$44,5,FALSE),G26-E26))</f>
        <v>0</v>
      </c>
      <c r="L26" s="4">
        <f ca="1" t="shared" si="2"/>
        <v>0</v>
      </c>
      <c r="M26" s="2" t="s">
        <v>106</v>
      </c>
    </row>
    <row r="27" s="2" customFormat="1" spans="1:13">
      <c r="A27" s="2" t="s">
        <v>39</v>
      </c>
      <c r="B27" s="2" t="s">
        <v>10</v>
      </c>
      <c r="C27" s="9">
        <v>45763</v>
      </c>
      <c r="D27" s="2">
        <v>17</v>
      </c>
      <c r="E27" s="2">
        <v>8</v>
      </c>
      <c r="F27" s="2">
        <v>678</v>
      </c>
      <c r="G27" s="2">
        <v>386</v>
      </c>
      <c r="H27" s="4">
        <f t="shared" si="0"/>
        <v>0.470588235294118</v>
      </c>
      <c r="I27" s="4">
        <f t="shared" si="1"/>
        <v>0.569321533923304</v>
      </c>
      <c r="J27" s="7">
        <f ca="1">F27-IFERROR(VLOOKUP($A27,'0516'!$A$1:'0516'!G$48,6,FALSE),IFERROR(VLOOKUP($C27,'0516'!$C$1:'0516'!G$48,4,FALSE),F27-D27))</f>
        <v>1</v>
      </c>
      <c r="K27" s="8">
        <f ca="1">G27-IFERROR(VLOOKUP($A27,'0516'!$A$1:'0516'!H$44,7,FALSE),IFERROR(VLOOKUP($C27,'0516'!$C$1:'0516'!H$44,5,FALSE),G27-E27))</f>
        <v>0</v>
      </c>
      <c r="L27" s="4">
        <f ca="1" t="shared" si="2"/>
        <v>0</v>
      </c>
      <c r="M27" s="2" t="s">
        <v>90</v>
      </c>
    </row>
    <row r="28" s="2" customFormat="1" spans="1:13">
      <c r="A28" s="2" t="s">
        <v>118</v>
      </c>
      <c r="B28" s="2" t="s">
        <v>10</v>
      </c>
      <c r="C28" s="9">
        <v>45759</v>
      </c>
      <c r="D28" s="2">
        <v>6</v>
      </c>
      <c r="E28" s="2">
        <v>5</v>
      </c>
      <c r="F28" s="2">
        <v>523</v>
      </c>
      <c r="G28" s="2">
        <v>647</v>
      </c>
      <c r="H28" s="4">
        <f t="shared" si="0"/>
        <v>0.833333333333333</v>
      </c>
      <c r="I28" s="4">
        <f t="shared" si="1"/>
        <v>1.23709369024857</v>
      </c>
      <c r="J28" s="7">
        <f ca="1">F28-IFERROR(VLOOKUP($A28,'0516'!$A$1:'0516'!G$48,6,FALSE),IFERROR(VLOOKUP($C28,'0516'!$C$1:'0516'!G$48,4,FALSE),F28-D28))</f>
        <v>5</v>
      </c>
      <c r="K28" s="8">
        <f ca="1">G28-IFERROR(VLOOKUP($A28,'0516'!$A$1:'0516'!H$44,7,FALSE),IFERROR(VLOOKUP($C28,'0516'!$C$1:'0516'!H$44,5,FALSE),G28-E28))</f>
        <v>0</v>
      </c>
      <c r="L28" s="4">
        <f ca="1" t="shared" si="2"/>
        <v>0</v>
      </c>
      <c r="M28" s="2" t="s">
        <v>119</v>
      </c>
    </row>
    <row r="29" s="2" customFormat="1" spans="1:12">
      <c r="A29" s="2" t="s">
        <v>46</v>
      </c>
      <c r="B29" s="2" t="s">
        <v>10</v>
      </c>
      <c r="C29" s="9">
        <v>45757</v>
      </c>
      <c r="D29" s="2">
        <v>14</v>
      </c>
      <c r="E29" s="2">
        <v>6</v>
      </c>
      <c r="F29" s="2">
        <v>654</v>
      </c>
      <c r="G29" s="2">
        <v>769</v>
      </c>
      <c r="H29" s="4">
        <f t="shared" si="0"/>
        <v>0.428571428571429</v>
      </c>
      <c r="I29" s="4">
        <f t="shared" si="1"/>
        <v>1.17584097859327</v>
      </c>
      <c r="J29" s="7">
        <f ca="1">F29-IFERROR(VLOOKUP($A29,'0516'!$A$1:'0516'!G$48,6,FALSE),IFERROR(VLOOKUP($C29,'0516'!$C$1:'0516'!G$48,4,FALSE),F29-D29))</f>
        <v>1</v>
      </c>
      <c r="K29" s="8">
        <f ca="1">G29-IFERROR(VLOOKUP($A29,'0516'!$A$1:'0516'!H$44,7,FALSE),IFERROR(VLOOKUP($C29,'0516'!$C$1:'0516'!H$44,5,FALSE),G29-E29))</f>
        <v>0</v>
      </c>
      <c r="L29" s="4">
        <f ca="1" t="shared" si="2"/>
        <v>0</v>
      </c>
    </row>
    <row r="30" s="2" customFormat="1" spans="1:12">
      <c r="A30" s="2" t="s">
        <v>114</v>
      </c>
      <c r="B30" s="2" t="s">
        <v>10</v>
      </c>
      <c r="C30" s="9">
        <v>45756</v>
      </c>
      <c r="D30" s="2">
        <v>17</v>
      </c>
      <c r="E30" s="2">
        <v>5</v>
      </c>
      <c r="F30" s="2">
        <v>476</v>
      </c>
      <c r="G30" s="2">
        <v>619</v>
      </c>
      <c r="H30" s="4">
        <f t="shared" si="0"/>
        <v>0.294117647058824</v>
      </c>
      <c r="I30" s="4">
        <f t="shared" si="1"/>
        <v>1.30042016806723</v>
      </c>
      <c r="J30" s="7">
        <f ca="1">F30-IFERROR(VLOOKUP($A30,'0516'!$A$1:'0516'!G$48,6,FALSE),IFERROR(VLOOKUP($C30,'0516'!$C$1:'0516'!G$48,4,FALSE),F30-D30))</f>
        <v>0</v>
      </c>
      <c r="K30" s="8">
        <f ca="1">G30-IFERROR(VLOOKUP($A30,'0516'!$A$1:'0516'!H$44,7,FALSE),IFERROR(VLOOKUP($C30,'0516'!$C$1:'0516'!H$44,5,FALSE),G30-E30))</f>
        <v>0</v>
      </c>
      <c r="L30" s="4">
        <f ca="1" t="shared" si="2"/>
        <v>0</v>
      </c>
    </row>
    <row r="31" s="2" customFormat="1" spans="1:13">
      <c r="A31" s="2" t="s">
        <v>73</v>
      </c>
      <c r="B31" s="2" t="s">
        <v>10</v>
      </c>
      <c r="C31" s="9">
        <v>45755</v>
      </c>
      <c r="D31" s="2">
        <v>14</v>
      </c>
      <c r="E31" s="2">
        <v>10</v>
      </c>
      <c r="F31" s="2">
        <v>469</v>
      </c>
      <c r="G31" s="2">
        <v>521</v>
      </c>
      <c r="H31" s="4">
        <f t="shared" si="0"/>
        <v>0.714285714285714</v>
      </c>
      <c r="I31" s="4">
        <f t="shared" si="1"/>
        <v>1.11087420042644</v>
      </c>
      <c r="J31" s="7">
        <f ca="1">F31-IFERROR(VLOOKUP($A31,'0516'!$A$1:'0516'!G$48,6,FALSE),IFERROR(VLOOKUP($C31,'0516'!$C$1:'0516'!G$48,4,FALSE),F31-D31))</f>
        <v>0</v>
      </c>
      <c r="K31" s="8">
        <f ca="1">G31-IFERROR(VLOOKUP($A31,'0516'!$A$1:'0516'!H$44,7,FALSE),IFERROR(VLOOKUP($C31,'0516'!$C$1:'0516'!H$44,5,FALSE),G31-E31))</f>
        <v>0</v>
      </c>
      <c r="L31" s="4">
        <f ca="1" t="shared" si="2"/>
        <v>0</v>
      </c>
      <c r="M31" s="2" t="s">
        <v>74</v>
      </c>
    </row>
    <row r="32" s="2" customFormat="1" spans="1:13">
      <c r="A32" s="2" t="s">
        <v>52</v>
      </c>
      <c r="B32" s="2" t="s">
        <v>10</v>
      </c>
      <c r="C32" s="9">
        <v>45743</v>
      </c>
      <c r="D32" s="2">
        <v>179</v>
      </c>
      <c r="E32" s="2">
        <v>80</v>
      </c>
      <c r="F32" s="2">
        <v>5178</v>
      </c>
      <c r="G32" s="2">
        <v>2091</v>
      </c>
      <c r="H32" s="4">
        <f t="shared" si="0"/>
        <v>0.446927374301676</v>
      </c>
      <c r="I32" s="4">
        <f t="shared" si="1"/>
        <v>0.403823870220162</v>
      </c>
      <c r="J32" s="7">
        <f ca="1">F32-IFERROR(VLOOKUP($A32,'0516'!$A$1:'0516'!G$48,6,FALSE),IFERROR(VLOOKUP($C32,'0516'!$C$1:'0516'!G$48,4,FALSE),F32-D32))</f>
        <v>14</v>
      </c>
      <c r="K32" s="8">
        <f ca="1">G32-IFERROR(VLOOKUP($A32,'0516'!$A$1:'0516'!H$44,7,FALSE),IFERROR(VLOOKUP($C32,'0516'!$C$1:'0516'!H$44,5,FALSE),G32-E32))</f>
        <v>0</v>
      </c>
      <c r="L32" s="4">
        <f ca="1" t="shared" si="2"/>
        <v>0</v>
      </c>
      <c r="M32" s="2" t="s">
        <v>53</v>
      </c>
    </row>
    <row r="33" s="2" customFormat="1" spans="1:14">
      <c r="A33" s="2" t="s">
        <v>98</v>
      </c>
      <c r="B33" s="2" t="s">
        <v>10</v>
      </c>
      <c r="C33" s="9">
        <v>45731</v>
      </c>
      <c r="D33" s="2">
        <v>120</v>
      </c>
      <c r="E33" s="2">
        <v>396</v>
      </c>
      <c r="F33" s="2">
        <v>333</v>
      </c>
      <c r="G33" s="2">
        <v>753</v>
      </c>
      <c r="H33" s="4">
        <f t="shared" si="0"/>
        <v>3.3</v>
      </c>
      <c r="I33" s="4">
        <f t="shared" si="1"/>
        <v>2.26126126126126</v>
      </c>
      <c r="J33" s="7">
        <f ca="1">F33-IFERROR(VLOOKUP($A33,'0516'!$A$1:'0516'!G$48,6,FALSE),IFERROR(VLOOKUP($C33,'0516'!$C$1:'0516'!G$48,4,FALSE),F33-D33))</f>
        <v>2</v>
      </c>
      <c r="K33" s="8">
        <f ca="1">G33-IFERROR(VLOOKUP($A33,'0516'!$A$1:'0516'!H$44,7,FALSE),IFERROR(VLOOKUP($C33,'0516'!$C$1:'0516'!H$44,5,FALSE),G33-E33))</f>
        <v>0</v>
      </c>
      <c r="L33" s="4">
        <f ca="1" t="shared" si="2"/>
        <v>0</v>
      </c>
      <c r="M33" s="2" t="s">
        <v>99</v>
      </c>
      <c r="N33" s="2" t="s">
        <v>100</v>
      </c>
    </row>
    <row r="34" s="2" customFormat="1" spans="1:13">
      <c r="A34" s="2" t="s">
        <v>58</v>
      </c>
      <c r="B34" s="2" t="s">
        <v>10</v>
      </c>
      <c r="C34" s="9">
        <v>45719</v>
      </c>
      <c r="D34" s="2">
        <v>7</v>
      </c>
      <c r="E34" s="2">
        <v>5</v>
      </c>
      <c r="F34" s="2">
        <v>390</v>
      </c>
      <c r="G34" s="2">
        <v>662</v>
      </c>
      <c r="H34" s="4">
        <f t="shared" si="0"/>
        <v>0.714285714285714</v>
      </c>
      <c r="I34" s="4">
        <f t="shared" si="1"/>
        <v>1.6974358974359</v>
      </c>
      <c r="J34" s="7">
        <f ca="1">F34-IFERROR(VLOOKUP($A34,'0516'!$A$1:'0516'!G$48,6,FALSE),IFERROR(VLOOKUP($C34,'0516'!$C$1:'0516'!G$48,4,FALSE),F34-D34))</f>
        <v>7</v>
      </c>
      <c r="K34" s="8">
        <f ca="1">G34-IFERROR(VLOOKUP($A34,'0516'!$A$1:'0516'!H$44,7,FALSE),IFERROR(VLOOKUP($C34,'0516'!$C$1:'0516'!H$44,5,FALSE),G34-E34))</f>
        <v>5</v>
      </c>
      <c r="L34" s="4">
        <f ca="1" t="shared" si="2"/>
        <v>0.714285714285714</v>
      </c>
      <c r="M34" s="2" t="s">
        <v>122</v>
      </c>
    </row>
    <row r="35" s="2" customFormat="1" spans="1:13">
      <c r="A35" s="2" t="s">
        <v>110</v>
      </c>
      <c r="B35" s="2" t="s">
        <v>10</v>
      </c>
      <c r="C35" s="9">
        <v>45686</v>
      </c>
      <c r="D35" s="2">
        <v>8</v>
      </c>
      <c r="E35" s="2">
        <v>3</v>
      </c>
      <c r="F35" s="2">
        <v>450</v>
      </c>
      <c r="G35" s="2">
        <v>347</v>
      </c>
      <c r="H35" s="4">
        <f t="shared" si="0"/>
        <v>0.375</v>
      </c>
      <c r="I35" s="4">
        <f t="shared" si="1"/>
        <v>0.771111111111111</v>
      </c>
      <c r="J35" s="7">
        <f ca="1">F35-IFERROR(VLOOKUP($A35,'0516'!$A$1:'0516'!G$48,6,FALSE),IFERROR(VLOOKUP($C35,'0516'!$C$1:'0516'!G$48,4,FALSE),F35-D35))</f>
        <v>0</v>
      </c>
      <c r="K35" s="8">
        <f ca="1">G35-IFERROR(VLOOKUP($A35,'0516'!$A$1:'0516'!H$44,7,FALSE),IFERROR(VLOOKUP($C35,'0516'!$C$1:'0516'!H$44,5,FALSE),G35-E35))</f>
        <v>0</v>
      </c>
      <c r="L35" s="4">
        <f ca="1" t="shared" si="2"/>
        <v>0</v>
      </c>
      <c r="M35" s="13" t="s">
        <v>111</v>
      </c>
    </row>
    <row r="36" s="2" customFormat="1" spans="1:13">
      <c r="A36" s="2" t="s">
        <v>123</v>
      </c>
      <c r="B36" s="2" t="s">
        <v>10</v>
      </c>
      <c r="C36" s="9">
        <v>45685</v>
      </c>
      <c r="D36" s="2">
        <v>31</v>
      </c>
      <c r="E36" s="2">
        <v>6</v>
      </c>
      <c r="F36" s="2">
        <v>137</v>
      </c>
      <c r="G36" s="2">
        <v>524</v>
      </c>
      <c r="H36" s="4">
        <f t="shared" si="0"/>
        <v>0.193548387096774</v>
      </c>
      <c r="I36" s="4">
        <f t="shared" si="1"/>
        <v>3.82481751824818</v>
      </c>
      <c r="J36" s="7">
        <f ca="1">F36-IFERROR(VLOOKUP($A36,'0516'!$A$1:'0516'!G$48,6,FALSE),IFERROR(VLOOKUP($C36,'0516'!$C$1:'0516'!G$48,4,FALSE),F36-D36))</f>
        <v>31</v>
      </c>
      <c r="K36" s="8">
        <f ca="1">G36-IFERROR(VLOOKUP($A36,'0516'!$A$1:'0516'!H$44,7,FALSE),IFERROR(VLOOKUP($C36,'0516'!$C$1:'0516'!H$44,5,FALSE),G36-E36))</f>
        <v>6</v>
      </c>
      <c r="L36" s="4">
        <f ca="1" t="shared" si="2"/>
        <v>0.193548387096774</v>
      </c>
      <c r="M36" s="2" t="s">
        <v>124</v>
      </c>
    </row>
    <row r="37" s="2" customFormat="1" spans="1:13">
      <c r="A37" s="2" t="s">
        <v>125</v>
      </c>
      <c r="B37" s="2" t="s">
        <v>10</v>
      </c>
      <c r="C37" s="9">
        <v>45626</v>
      </c>
      <c r="D37" s="2">
        <v>7</v>
      </c>
      <c r="E37" s="2">
        <v>6</v>
      </c>
      <c r="F37" s="2">
        <v>203</v>
      </c>
      <c r="G37" s="2">
        <v>519</v>
      </c>
      <c r="H37" s="4">
        <f t="shared" si="0"/>
        <v>0.857142857142857</v>
      </c>
      <c r="I37" s="4">
        <f t="shared" si="1"/>
        <v>2.55665024630542</v>
      </c>
      <c r="J37" s="7">
        <f ca="1">F37-IFERROR(VLOOKUP($A37,'0516'!$A$1:'0516'!G$48,6,FALSE),IFERROR(VLOOKUP($C37,'0516'!$C$1:'0516'!G$48,4,FALSE),F37-D37))</f>
        <v>7</v>
      </c>
      <c r="K37" s="8">
        <f ca="1">G37-IFERROR(VLOOKUP($A37,'0516'!$A$1:'0516'!H$44,7,FALSE),IFERROR(VLOOKUP($C37,'0516'!$C$1:'0516'!H$44,5,FALSE),G37-E37))</f>
        <v>6</v>
      </c>
      <c r="L37" s="4">
        <f ca="1" t="shared" si="2"/>
        <v>0.857142857142857</v>
      </c>
      <c r="M37" s="2" t="s">
        <v>126</v>
      </c>
    </row>
    <row r="38" s="2" customFormat="1" spans="1:13">
      <c r="A38" s="2" t="s">
        <v>127</v>
      </c>
      <c r="B38" s="2" t="s">
        <v>10</v>
      </c>
      <c r="C38" s="9">
        <v>45547</v>
      </c>
      <c r="D38" s="2">
        <v>19</v>
      </c>
      <c r="E38" s="2">
        <v>1</v>
      </c>
      <c r="F38" s="2">
        <v>9089</v>
      </c>
      <c r="G38" s="2">
        <v>2509</v>
      </c>
      <c r="H38" s="4">
        <f t="shared" si="0"/>
        <v>0.0526315789473684</v>
      </c>
      <c r="I38" s="4">
        <f t="shared" si="1"/>
        <v>0.276047970073715</v>
      </c>
      <c r="J38" s="7">
        <f ca="1">F38-IFERROR(VLOOKUP($A38,'0516'!$A$1:'0516'!G$48,6,FALSE),IFERROR(VLOOKUP($C38,'0516'!$C$1:'0516'!G$48,4,FALSE),F38-D38))</f>
        <v>19</v>
      </c>
      <c r="K38" s="8">
        <f ca="1">G38-IFERROR(VLOOKUP($A38,'0516'!$A$1:'0516'!H$44,7,FALSE),IFERROR(VLOOKUP($C38,'0516'!$C$1:'0516'!H$44,5,FALSE),G38-E38))</f>
        <v>1</v>
      </c>
      <c r="L38" s="4">
        <f ca="1" t="shared" si="2"/>
        <v>0.0526315789473684</v>
      </c>
      <c r="M38" s="2" t="s">
        <v>128</v>
      </c>
    </row>
    <row r="39" spans="11:11">
      <c r="K39" s="2">
        <f ca="1">SUM(K2:K38)</f>
        <v>956</v>
      </c>
    </row>
    <row r="41" spans="14:14">
      <c r="N41"/>
    </row>
    <row r="43" spans="13:13">
      <c r="M43" s="2" t="s">
        <v>102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topLeftCell="A7" workbookViewId="0">
      <selection activeCell="A26" sqref="$A26:$XFD26"/>
    </sheetView>
  </sheetViews>
  <sheetFormatPr defaultColWidth="10" defaultRowHeight="14.4"/>
  <cols>
    <col min="1" max="1" width="54.1111111111111" style="2" customWidth="1"/>
    <col min="2" max="2" width="0.444444444444444" style="2" customWidth="1"/>
    <col min="3" max="3" width="10.8888888888889" style="2" customWidth="1"/>
    <col min="4" max="7" width="5.77777777777778" style="2" customWidth="1"/>
    <col min="8" max="9" width="6.77777777777778" style="2" customWidth="1"/>
    <col min="10" max="10" width="7.66666666666667" style="2" customWidth="1"/>
    <col min="11" max="12" width="6.77777777777778" style="2" customWidth="1"/>
    <col min="13" max="13" width="18.6666666666667" style="2" customWidth="1"/>
    <col min="14" max="14" width="19.6666666666667" style="2" customWidth="1"/>
    <col min="15" max="16384" width="10" style="2"/>
  </cols>
  <sheetData>
    <row r="1" s="2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J1" s="5" t="s">
        <v>7</v>
      </c>
      <c r="K1" s="5" t="s">
        <v>8</v>
      </c>
    </row>
    <row r="2" s="2" customFormat="1" spans="1:12">
      <c r="A2" s="2" t="s">
        <v>129</v>
      </c>
      <c r="B2" s="2" t="s">
        <v>10</v>
      </c>
      <c r="C2" s="9">
        <v>45794</v>
      </c>
      <c r="D2" s="2">
        <v>79</v>
      </c>
      <c r="E2" s="2">
        <v>166</v>
      </c>
      <c r="F2" s="2">
        <v>79</v>
      </c>
      <c r="G2" s="2">
        <v>166</v>
      </c>
      <c r="H2" s="4">
        <f t="shared" ref="H2:H38" si="0">E2/D2</f>
        <v>2.10126582278481</v>
      </c>
      <c r="I2" s="4">
        <f t="shared" ref="I2:I38" si="1">G2/F2</f>
        <v>2.10126582278481</v>
      </c>
      <c r="J2" s="7">
        <f ca="1">F2-IFERROR(VLOOKUP($A2,'0517'!$A$1:'0517'!G$48,6,FALSE),IFERROR(VLOOKUP($C2,'0517'!$C$1:'0517'!G$48,4,FALSE),F2-D2))</f>
        <v>79</v>
      </c>
      <c r="K2" s="8">
        <f ca="1">G2-IFERROR(VLOOKUP($A2,'0517'!$A$1:'0517'!H$44,7,FALSE),IFERROR(VLOOKUP($C2,'0517'!$C$1:'0517'!H$44,5,FALSE),G2-E2))</f>
        <v>166</v>
      </c>
      <c r="L2" s="4">
        <f ca="1" t="shared" ref="L2:L38" si="2">IFERROR(K2/J2,)</f>
        <v>2.10126582278481</v>
      </c>
    </row>
    <row r="3" s="2" customFormat="1" spans="1:12">
      <c r="A3" s="2" t="s">
        <v>130</v>
      </c>
      <c r="B3" s="2" t="s">
        <v>10</v>
      </c>
      <c r="C3" s="9">
        <v>45794</v>
      </c>
      <c r="D3" s="2">
        <v>135</v>
      </c>
      <c r="E3" s="2">
        <v>256</v>
      </c>
      <c r="F3" s="2">
        <v>135</v>
      </c>
      <c r="G3" s="2">
        <v>256</v>
      </c>
      <c r="H3" s="4">
        <f t="shared" si="0"/>
        <v>1.8962962962963</v>
      </c>
      <c r="I3" s="4">
        <f t="shared" si="1"/>
        <v>1.8962962962963</v>
      </c>
      <c r="J3" s="7">
        <f ca="1">F3-IFERROR(VLOOKUP($A3,'0517'!$A$1:'0517'!G$48,6,FALSE),IFERROR(VLOOKUP($C3,'0517'!$C$1:'0517'!G$48,4,FALSE),F3-D3))</f>
        <v>135</v>
      </c>
      <c r="K3" s="8">
        <f ca="1">G3-IFERROR(VLOOKUP($A3,'0517'!$A$1:'0517'!H$44,7,FALSE),IFERROR(VLOOKUP($C3,'0517'!$C$1:'0517'!H$44,5,FALSE),G3-E3))</f>
        <v>256</v>
      </c>
      <c r="L3" s="4">
        <f ca="1" t="shared" si="2"/>
        <v>1.8962962962963</v>
      </c>
    </row>
    <row r="4" s="2" customFormat="1" spans="1:12">
      <c r="A4" s="2" t="s">
        <v>120</v>
      </c>
      <c r="B4" s="2" t="s">
        <v>10</v>
      </c>
      <c r="C4" s="9">
        <v>45793</v>
      </c>
      <c r="D4" s="2">
        <v>155</v>
      </c>
      <c r="E4" s="2">
        <v>423</v>
      </c>
      <c r="F4" s="2">
        <v>155</v>
      </c>
      <c r="G4" s="2">
        <v>423</v>
      </c>
      <c r="H4" s="4">
        <f t="shared" si="0"/>
        <v>2.72903225806452</v>
      </c>
      <c r="I4" s="4">
        <f t="shared" si="1"/>
        <v>2.72903225806452</v>
      </c>
      <c r="J4" s="7">
        <f ca="1">F4-IFERROR(VLOOKUP($A4,'0517'!$A$1:'0517'!G$48,6,FALSE),IFERROR(VLOOKUP($C4,'0517'!$C$1:'0517'!G$48,4,FALSE),F4-D4))</f>
        <v>48</v>
      </c>
      <c r="K4" s="8">
        <f ca="1">G4-IFERROR(VLOOKUP($A4,'0517'!$A$1:'0517'!H$44,7,FALSE),IFERROR(VLOOKUP($C4,'0517'!$C$1:'0517'!H$44,5,FALSE),G4-E4))</f>
        <v>77</v>
      </c>
      <c r="L4" s="4">
        <f ca="1" t="shared" si="2"/>
        <v>1.60416666666667</v>
      </c>
    </row>
    <row r="5" s="2" customFormat="1" spans="1:12">
      <c r="A5" s="2" t="s">
        <v>121</v>
      </c>
      <c r="B5" s="2" t="s">
        <v>10</v>
      </c>
      <c r="C5" s="9">
        <v>45793</v>
      </c>
      <c r="D5" s="2">
        <v>115</v>
      </c>
      <c r="E5" s="2">
        <v>191</v>
      </c>
      <c r="F5" s="2">
        <v>115</v>
      </c>
      <c r="G5" s="2">
        <v>191</v>
      </c>
      <c r="H5" s="4">
        <f t="shared" si="0"/>
        <v>1.66086956521739</v>
      </c>
      <c r="I5" s="4">
        <f t="shared" si="1"/>
        <v>1.66086956521739</v>
      </c>
      <c r="J5" s="7">
        <f ca="1">F5-IFERROR(VLOOKUP($A5,'0517'!$A$1:'0517'!G$48,6,FALSE),IFERROR(VLOOKUP($C5,'0517'!$C$1:'0517'!G$48,4,FALSE),F5-D5))</f>
        <v>25</v>
      </c>
      <c r="K5" s="8">
        <f ca="1">G5-IFERROR(VLOOKUP($A5,'0517'!$A$1:'0517'!H$44,7,FALSE),IFERROR(VLOOKUP($C5,'0517'!$C$1:'0517'!H$44,5,FALSE),G5-E5))</f>
        <v>12</v>
      </c>
      <c r="L5" s="4">
        <f ca="1" t="shared" si="2"/>
        <v>0.48</v>
      </c>
    </row>
    <row r="6" s="2" customFormat="1" spans="1:12">
      <c r="A6" s="2" t="s">
        <v>115</v>
      </c>
      <c r="B6" s="2" t="s">
        <v>10</v>
      </c>
      <c r="C6" s="9">
        <v>45792</v>
      </c>
      <c r="D6" s="2">
        <v>215</v>
      </c>
      <c r="E6" s="2">
        <v>226</v>
      </c>
      <c r="F6" s="2">
        <v>215</v>
      </c>
      <c r="G6" s="2">
        <v>226</v>
      </c>
      <c r="H6" s="4">
        <f t="shared" si="0"/>
        <v>1.05116279069767</v>
      </c>
      <c r="I6" s="4">
        <f t="shared" si="1"/>
        <v>1.05116279069767</v>
      </c>
      <c r="J6" s="7">
        <f ca="1">F6-IFERROR(VLOOKUP($A6,'0517'!$A$1:'0517'!G$48,6,FALSE),IFERROR(VLOOKUP($C6,'0517'!$C$1:'0517'!G$48,4,FALSE),F6-D6))</f>
        <v>12</v>
      </c>
      <c r="K6" s="8">
        <f ca="1">G6-IFERROR(VLOOKUP($A6,'0517'!$A$1:'0517'!H$44,7,FALSE),IFERROR(VLOOKUP($C6,'0517'!$C$1:'0517'!H$44,5,FALSE),G6-E6))</f>
        <v>0</v>
      </c>
      <c r="L6" s="4">
        <f ca="1" t="shared" si="2"/>
        <v>0</v>
      </c>
    </row>
    <row r="7" s="2" customFormat="1" spans="1:12">
      <c r="A7" s="2" t="s">
        <v>116</v>
      </c>
      <c r="B7" s="2" t="s">
        <v>10</v>
      </c>
      <c r="C7" s="9">
        <v>45792</v>
      </c>
      <c r="D7" s="2">
        <v>105</v>
      </c>
      <c r="E7" s="2">
        <v>326</v>
      </c>
      <c r="F7" s="2">
        <v>105</v>
      </c>
      <c r="G7" s="2">
        <v>326</v>
      </c>
      <c r="H7" s="4">
        <f t="shared" si="0"/>
        <v>3.1047619047619</v>
      </c>
      <c r="I7" s="4">
        <f t="shared" si="1"/>
        <v>3.1047619047619</v>
      </c>
      <c r="J7" s="7">
        <f ca="1">F7-IFERROR(VLOOKUP($A7,'0517'!$A$1:'0517'!G$48,6,FALSE),IFERROR(VLOOKUP($C7,'0517'!$C$1:'0517'!G$48,4,FALSE),F7-D7))</f>
        <v>11</v>
      </c>
      <c r="K7" s="8">
        <f ca="1">G7-IFERROR(VLOOKUP($A7,'0517'!$A$1:'0517'!H$44,7,FALSE),IFERROR(VLOOKUP($C7,'0517'!$C$1:'0517'!H$44,5,FALSE),G7-E7))</f>
        <v>0</v>
      </c>
      <c r="L7" s="4">
        <f ca="1" t="shared" si="2"/>
        <v>0</v>
      </c>
    </row>
    <row r="8" s="2" customFormat="1" spans="1:12">
      <c r="A8" s="2" t="s">
        <v>112</v>
      </c>
      <c r="B8" s="2" t="s">
        <v>10</v>
      </c>
      <c r="C8" s="9">
        <v>45791</v>
      </c>
      <c r="D8" s="2">
        <v>279</v>
      </c>
      <c r="E8" s="2">
        <v>169</v>
      </c>
      <c r="F8" s="2">
        <v>279</v>
      </c>
      <c r="G8" s="2">
        <v>169</v>
      </c>
      <c r="H8" s="4">
        <f t="shared" si="0"/>
        <v>0.60573476702509</v>
      </c>
      <c r="I8" s="4">
        <f t="shared" si="1"/>
        <v>0.60573476702509</v>
      </c>
      <c r="J8" s="7">
        <f ca="1">F8-IFERROR(VLOOKUP($A8,'0517'!$A$1:'0517'!G$48,6,FALSE),IFERROR(VLOOKUP($C8,'0517'!$C$1:'0517'!G$48,4,FALSE),F8-D8))</f>
        <v>10</v>
      </c>
      <c r="K8" s="8">
        <f ca="1">G8-IFERROR(VLOOKUP($A8,'0517'!$A$1:'0517'!H$44,7,FALSE),IFERROR(VLOOKUP($C8,'0517'!$C$1:'0517'!H$44,5,FALSE),G8-E8))</f>
        <v>0</v>
      </c>
      <c r="L8" s="4">
        <f ca="1" t="shared" si="2"/>
        <v>0</v>
      </c>
    </row>
    <row r="9" s="2" customFormat="1" spans="1:12">
      <c r="A9" s="2" t="s">
        <v>113</v>
      </c>
      <c r="B9" s="2" t="s">
        <v>10</v>
      </c>
      <c r="C9" s="9">
        <v>45791</v>
      </c>
      <c r="D9" s="2">
        <v>257</v>
      </c>
      <c r="E9" s="2">
        <v>264</v>
      </c>
      <c r="F9" s="2">
        <v>257</v>
      </c>
      <c r="G9" s="2">
        <v>264</v>
      </c>
      <c r="H9" s="4">
        <f t="shared" si="0"/>
        <v>1.0272373540856</v>
      </c>
      <c r="I9" s="4">
        <f t="shared" si="1"/>
        <v>1.0272373540856</v>
      </c>
      <c r="J9" s="7">
        <f ca="1">F9-IFERROR(VLOOKUP($A9,'0517'!$A$1:'0517'!G$48,6,FALSE),IFERROR(VLOOKUP($C9,'0517'!$C$1:'0517'!G$48,4,FALSE),F9-D9))</f>
        <v>3</v>
      </c>
      <c r="K9" s="8">
        <f ca="1">G9-IFERROR(VLOOKUP($A9,'0517'!$A$1:'0517'!H$44,7,FALSE),IFERROR(VLOOKUP($C9,'0517'!$C$1:'0517'!H$44,5,FALSE),G9-E9))</f>
        <v>0</v>
      </c>
      <c r="L9" s="4">
        <f ca="1" t="shared" si="2"/>
        <v>0</v>
      </c>
    </row>
    <row r="10" s="2" customFormat="1" spans="1:12">
      <c r="A10" s="2" t="s">
        <v>107</v>
      </c>
      <c r="B10" s="2" t="s">
        <v>10</v>
      </c>
      <c r="C10" s="9">
        <v>45790</v>
      </c>
      <c r="D10" s="2">
        <v>308</v>
      </c>
      <c r="E10" s="2">
        <v>306</v>
      </c>
      <c r="F10" s="2">
        <v>308</v>
      </c>
      <c r="G10" s="2">
        <v>306</v>
      </c>
      <c r="H10" s="4">
        <f t="shared" si="0"/>
        <v>0.993506493506494</v>
      </c>
      <c r="I10" s="4">
        <f t="shared" si="1"/>
        <v>0.993506493506494</v>
      </c>
      <c r="J10" s="7">
        <f ca="1">F10-IFERROR(VLOOKUP($A10,'0517'!$A$1:'0517'!G$48,6,FALSE),IFERROR(VLOOKUP($C10,'0517'!$C$1:'0517'!G$48,4,FALSE),F10-D10))</f>
        <v>0</v>
      </c>
      <c r="K10" s="8">
        <f ca="1">G10-IFERROR(VLOOKUP($A10,'0517'!$A$1:'0517'!H$44,7,FALSE),IFERROR(VLOOKUP($C10,'0517'!$C$1:'0517'!H$44,5,FALSE),G10-E10))</f>
        <v>0</v>
      </c>
      <c r="L10" s="4">
        <f ca="1" t="shared" si="2"/>
        <v>0</v>
      </c>
    </row>
    <row r="11" s="2" customFormat="1" spans="1:13">
      <c r="A11" s="2" t="s">
        <v>108</v>
      </c>
      <c r="B11" s="2" t="s">
        <v>10</v>
      </c>
      <c r="C11" s="9">
        <v>45790</v>
      </c>
      <c r="D11" s="2">
        <v>5471</v>
      </c>
      <c r="E11" s="2">
        <v>1199</v>
      </c>
      <c r="F11" s="2">
        <v>5471</v>
      </c>
      <c r="G11" s="2">
        <v>1199</v>
      </c>
      <c r="H11" s="4">
        <f t="shared" si="0"/>
        <v>0.219155547431914</v>
      </c>
      <c r="I11" s="4">
        <f t="shared" si="1"/>
        <v>0.219155547431914</v>
      </c>
      <c r="J11" s="7">
        <f ca="1">F11-IFERROR(VLOOKUP($A11,'0517'!$A$1:'0517'!G$48,6,FALSE),IFERROR(VLOOKUP($C11,'0517'!$C$1:'0517'!G$48,4,FALSE),F11-D11))</f>
        <v>17</v>
      </c>
      <c r="K11" s="8">
        <f ca="1">G11-IFERROR(VLOOKUP($A11,'0517'!$A$1:'0517'!H$44,7,FALSE),IFERROR(VLOOKUP($C11,'0517'!$C$1:'0517'!H$44,5,FALSE),G11-E11))</f>
        <v>51</v>
      </c>
      <c r="L11" s="4">
        <f ca="1" t="shared" si="2"/>
        <v>3</v>
      </c>
      <c r="M11" s="2" t="s">
        <v>109</v>
      </c>
    </row>
    <row r="12" s="2" customFormat="1" spans="1:13">
      <c r="A12" s="2" t="s">
        <v>105</v>
      </c>
      <c r="B12" s="2" t="s">
        <v>10</v>
      </c>
      <c r="C12" s="9">
        <v>45789</v>
      </c>
      <c r="D12" s="2">
        <v>169</v>
      </c>
      <c r="E12" s="2">
        <v>513</v>
      </c>
      <c r="F12" s="2">
        <v>169</v>
      </c>
      <c r="G12" s="2">
        <v>513</v>
      </c>
      <c r="H12" s="4">
        <f t="shared" si="0"/>
        <v>3.03550295857988</v>
      </c>
      <c r="I12" s="4">
        <f t="shared" si="1"/>
        <v>3.03550295857988</v>
      </c>
      <c r="J12" s="7">
        <f ca="1">F12-IFERROR(VLOOKUP($A12,'0517'!$A$1:'0517'!G$48,6,FALSE),IFERROR(VLOOKUP($C12,'0517'!$C$1:'0517'!G$48,4,FALSE),F12-D12))</f>
        <v>0</v>
      </c>
      <c r="K12" s="8">
        <f ca="1">G12-IFERROR(VLOOKUP($A12,'0517'!$A$1:'0517'!H$44,7,FALSE),IFERROR(VLOOKUP($C12,'0517'!$C$1:'0517'!H$44,5,FALSE),G12-E12))</f>
        <v>0</v>
      </c>
      <c r="L12" s="4">
        <f ca="1" t="shared" si="2"/>
        <v>0</v>
      </c>
      <c r="M12" s="2" t="s">
        <v>131</v>
      </c>
    </row>
    <row r="13" s="2" customFormat="1" spans="1:12">
      <c r="A13" s="2" t="s">
        <v>103</v>
      </c>
      <c r="B13" s="2" t="s">
        <v>10</v>
      </c>
      <c r="C13" s="9">
        <v>45788</v>
      </c>
      <c r="D13" s="2">
        <v>300</v>
      </c>
      <c r="E13" s="2">
        <v>674</v>
      </c>
      <c r="F13" s="2">
        <v>300</v>
      </c>
      <c r="G13" s="2">
        <v>674</v>
      </c>
      <c r="H13" s="4">
        <f t="shared" si="0"/>
        <v>2.24666666666667</v>
      </c>
      <c r="I13" s="4">
        <f t="shared" si="1"/>
        <v>2.24666666666667</v>
      </c>
      <c r="J13" s="7">
        <f ca="1">F13-IFERROR(VLOOKUP($A13,'0517'!$A$1:'0517'!G$48,6,FALSE),IFERROR(VLOOKUP($C13,'0517'!$C$1:'0517'!G$48,4,FALSE),F13-D13))</f>
        <v>0</v>
      </c>
      <c r="K13" s="8">
        <f ca="1">G13-IFERROR(VLOOKUP($A13,'0517'!$A$1:'0517'!H$44,7,FALSE),IFERROR(VLOOKUP($C13,'0517'!$C$1:'0517'!H$44,5,FALSE),G13-E13))</f>
        <v>0</v>
      </c>
      <c r="L13" s="4">
        <f ca="1" t="shared" si="2"/>
        <v>0</v>
      </c>
    </row>
    <row r="14" s="2" customFormat="1" spans="1:12">
      <c r="A14" s="2" t="s">
        <v>101</v>
      </c>
      <c r="B14" s="2" t="s">
        <v>10</v>
      </c>
      <c r="C14" s="9">
        <v>45787</v>
      </c>
      <c r="D14" s="2">
        <v>95</v>
      </c>
      <c r="E14" s="2">
        <v>244</v>
      </c>
      <c r="F14" s="2">
        <v>192</v>
      </c>
      <c r="G14" s="2">
        <v>759</v>
      </c>
      <c r="H14" s="4">
        <f t="shared" si="0"/>
        <v>2.56842105263158</v>
      </c>
      <c r="I14" s="4">
        <f t="shared" si="1"/>
        <v>3.953125</v>
      </c>
      <c r="J14" s="7">
        <f ca="1">F14-IFERROR(VLOOKUP($A14,'0517'!$A$1:'0517'!G$48,6,FALSE),IFERROR(VLOOKUP($C14,'0517'!$C$1:'0517'!G$48,4,FALSE),F14-D14))</f>
        <v>3</v>
      </c>
      <c r="K14" s="8">
        <f ca="1">G14-IFERROR(VLOOKUP($A14,'0517'!$A$1:'0517'!H$44,7,FALSE),IFERROR(VLOOKUP($C14,'0517'!$C$1:'0517'!H$44,5,FALSE),G14-E14))</f>
        <v>0</v>
      </c>
      <c r="L14" s="4">
        <f ca="1" t="shared" si="2"/>
        <v>0</v>
      </c>
    </row>
    <row r="15" s="2" customFormat="1" spans="1:13">
      <c r="A15" s="2" t="s">
        <v>93</v>
      </c>
      <c r="B15" s="2" t="s">
        <v>10</v>
      </c>
      <c r="C15" s="9">
        <v>45786</v>
      </c>
      <c r="D15" s="2">
        <v>168</v>
      </c>
      <c r="E15" s="2">
        <v>12</v>
      </c>
      <c r="F15" s="2">
        <v>312</v>
      </c>
      <c r="G15" s="2">
        <v>287</v>
      </c>
      <c r="H15" s="4">
        <f t="shared" si="0"/>
        <v>0.0714285714285714</v>
      </c>
      <c r="I15" s="4">
        <f t="shared" si="1"/>
        <v>0.919871794871795</v>
      </c>
      <c r="J15" s="7">
        <f ca="1">F15-IFERROR(VLOOKUP($A15,'0517'!$A$1:'0517'!G$48,6,FALSE),IFERROR(VLOOKUP($C15,'0517'!$C$1:'0517'!G$48,4,FALSE),F15-D15))</f>
        <v>5</v>
      </c>
      <c r="K15" s="8">
        <f ca="1">G15-IFERROR(VLOOKUP($A15,'0517'!$A$1:'0517'!H$44,7,FALSE),IFERROR(VLOOKUP($C15,'0517'!$C$1:'0517'!H$44,5,FALSE),G15-E15))</f>
        <v>0</v>
      </c>
      <c r="L15" s="4">
        <f ca="1" t="shared" si="2"/>
        <v>0</v>
      </c>
      <c r="M15" s="2" t="s">
        <v>94</v>
      </c>
    </row>
    <row r="16" s="2" customFormat="1" spans="1:12">
      <c r="A16" s="2" t="s">
        <v>95</v>
      </c>
      <c r="B16" s="2" t="s">
        <v>10</v>
      </c>
      <c r="C16" s="9">
        <v>45786</v>
      </c>
      <c r="D16" s="2">
        <v>104</v>
      </c>
      <c r="E16" s="2">
        <v>69</v>
      </c>
      <c r="F16" s="2">
        <v>369</v>
      </c>
      <c r="G16" s="2">
        <v>363</v>
      </c>
      <c r="H16" s="4">
        <f t="shared" si="0"/>
        <v>0.663461538461538</v>
      </c>
      <c r="I16" s="4">
        <f t="shared" si="1"/>
        <v>0.983739837398374</v>
      </c>
      <c r="J16" s="7">
        <f ca="1">F16-IFERROR(VLOOKUP($A16,'0517'!$A$1:'0517'!G$48,6,FALSE),IFERROR(VLOOKUP($C16,'0517'!$C$1:'0517'!G$48,4,FALSE),F16-D16))</f>
        <v>0</v>
      </c>
      <c r="K16" s="8">
        <f ca="1">G16-IFERROR(VLOOKUP($A16,'0517'!$A$1:'0517'!H$44,7,FALSE),IFERROR(VLOOKUP($C16,'0517'!$C$1:'0517'!H$44,5,FALSE),G16-E16))</f>
        <v>0</v>
      </c>
      <c r="L16" s="4">
        <f ca="1" t="shared" si="2"/>
        <v>0</v>
      </c>
    </row>
    <row r="17" s="2" customFormat="1" spans="1:12">
      <c r="A17" s="2" t="s">
        <v>77</v>
      </c>
      <c r="B17" s="2" t="s">
        <v>10</v>
      </c>
      <c r="C17" s="9">
        <v>45782</v>
      </c>
      <c r="D17" s="2">
        <v>49</v>
      </c>
      <c r="E17" s="2">
        <v>12</v>
      </c>
      <c r="F17" s="2">
        <v>367</v>
      </c>
      <c r="G17" s="2">
        <v>220</v>
      </c>
      <c r="H17" s="4">
        <f t="shared" si="0"/>
        <v>0.244897959183673</v>
      </c>
      <c r="I17" s="4">
        <f t="shared" si="1"/>
        <v>0.599455040871935</v>
      </c>
      <c r="J17" s="7">
        <f ca="1">F17-IFERROR(VLOOKUP($A17,'0517'!$A$1:'0517'!G$48,6,FALSE),IFERROR(VLOOKUP($C17,'0517'!$C$1:'0517'!G$48,4,FALSE),F17-D17))</f>
        <v>1</v>
      </c>
      <c r="K17" s="8">
        <f ca="1">G17-IFERROR(VLOOKUP($A17,'0517'!$A$1:'0517'!H$44,7,FALSE),IFERROR(VLOOKUP($C17,'0517'!$C$1:'0517'!H$44,5,FALSE),G17-E17))</f>
        <v>0</v>
      </c>
      <c r="L17" s="4">
        <f ca="1" t="shared" si="2"/>
        <v>0</v>
      </c>
    </row>
    <row r="18" s="2" customFormat="1" spans="1:12">
      <c r="A18" s="2" t="s">
        <v>72</v>
      </c>
      <c r="B18" s="2" t="s">
        <v>10</v>
      </c>
      <c r="C18" s="9">
        <v>45781</v>
      </c>
      <c r="D18" s="2">
        <v>59</v>
      </c>
      <c r="E18" s="2">
        <v>18</v>
      </c>
      <c r="F18" s="2">
        <v>329</v>
      </c>
      <c r="G18" s="2">
        <v>665</v>
      </c>
      <c r="H18" s="4">
        <f t="shared" si="0"/>
        <v>0.305084745762712</v>
      </c>
      <c r="I18" s="4">
        <f t="shared" si="1"/>
        <v>2.02127659574468</v>
      </c>
      <c r="J18" s="7">
        <f ca="1">F18-IFERROR(VLOOKUP($A18,'0517'!$A$1:'0517'!G$48,6,FALSE),IFERROR(VLOOKUP($C18,'0517'!$C$1:'0517'!G$48,4,FALSE),F18-D18))</f>
        <v>2</v>
      </c>
      <c r="K18" s="8">
        <f ca="1">G18-IFERROR(VLOOKUP($A18,'0517'!$A$1:'0517'!H$44,7,FALSE),IFERROR(VLOOKUP($C18,'0517'!$C$1:'0517'!H$44,5,FALSE),G18-E18))</f>
        <v>0</v>
      </c>
      <c r="L18" s="4">
        <f ca="1" t="shared" si="2"/>
        <v>0</v>
      </c>
    </row>
    <row r="19" s="2" customFormat="1" spans="1:12">
      <c r="A19" s="2" t="s">
        <v>69</v>
      </c>
      <c r="B19" s="2" t="s">
        <v>10</v>
      </c>
      <c r="C19" s="9">
        <v>45780</v>
      </c>
      <c r="D19" s="2">
        <v>119</v>
      </c>
      <c r="E19" s="2">
        <v>24</v>
      </c>
      <c r="F19" s="2">
        <v>1337</v>
      </c>
      <c r="G19" s="2">
        <v>561</v>
      </c>
      <c r="H19" s="4">
        <f t="shared" si="0"/>
        <v>0.201680672268908</v>
      </c>
      <c r="I19" s="4">
        <f t="shared" si="1"/>
        <v>0.419596110695587</v>
      </c>
      <c r="J19" s="7">
        <f ca="1">F19-IFERROR(VLOOKUP($A19,'0517'!$A$1:'0517'!G$48,6,FALSE),IFERROR(VLOOKUP($C19,'0517'!$C$1:'0517'!G$48,4,FALSE),F19-D19))</f>
        <v>12</v>
      </c>
      <c r="K19" s="8">
        <f ca="1">G19-IFERROR(VLOOKUP($A19,'0517'!$A$1:'0517'!H$44,7,FALSE),IFERROR(VLOOKUP($C19,'0517'!$C$1:'0517'!H$44,5,FALSE),G19-E19))</f>
        <v>0</v>
      </c>
      <c r="L19" s="4">
        <f ca="1" t="shared" si="2"/>
        <v>0</v>
      </c>
    </row>
    <row r="20" s="2" customFormat="1" spans="1:12">
      <c r="A20" s="2" t="s">
        <v>68</v>
      </c>
      <c r="B20" s="2" t="s">
        <v>10</v>
      </c>
      <c r="C20" s="9">
        <v>45779</v>
      </c>
      <c r="D20" s="2">
        <v>23</v>
      </c>
      <c r="E20" s="2">
        <v>12</v>
      </c>
      <c r="F20" s="2">
        <v>217</v>
      </c>
      <c r="G20" s="2">
        <v>159</v>
      </c>
      <c r="H20" s="4">
        <f t="shared" si="0"/>
        <v>0.521739130434783</v>
      </c>
      <c r="I20" s="4">
        <f t="shared" si="1"/>
        <v>0.732718894009217</v>
      </c>
      <c r="J20" s="7">
        <f ca="1">F20-IFERROR(VLOOKUP($A20,'0517'!$A$1:'0517'!G$48,6,FALSE),IFERROR(VLOOKUP($C20,'0517'!$C$1:'0517'!G$48,4,FALSE),F20-D20))</f>
        <v>0</v>
      </c>
      <c r="K20" s="8">
        <f ca="1">G20-IFERROR(VLOOKUP($A20,'0517'!$A$1:'0517'!H$44,7,FALSE),IFERROR(VLOOKUP($C20,'0517'!$C$1:'0517'!H$44,5,FALSE),G20-E20))</f>
        <v>0</v>
      </c>
      <c r="L20" s="4">
        <f ca="1" t="shared" si="2"/>
        <v>0</v>
      </c>
    </row>
    <row r="21" s="2" customFormat="1" spans="1:13">
      <c r="A21" s="2" t="s">
        <v>9</v>
      </c>
      <c r="B21" s="2" t="s">
        <v>10</v>
      </c>
      <c r="C21" s="9">
        <v>45777</v>
      </c>
      <c r="D21" s="2">
        <v>47</v>
      </c>
      <c r="E21" s="2">
        <v>28</v>
      </c>
      <c r="F21" s="2">
        <v>286</v>
      </c>
      <c r="G21" s="2">
        <v>332</v>
      </c>
      <c r="H21" s="4">
        <f t="shared" si="0"/>
        <v>0.595744680851064</v>
      </c>
      <c r="I21" s="4">
        <f t="shared" si="1"/>
        <v>1.16083916083916</v>
      </c>
      <c r="J21" s="7">
        <f ca="1">F21-IFERROR(VLOOKUP($A21,'0517'!$A$1:'0517'!G$48,6,FALSE),IFERROR(VLOOKUP($C21,'0517'!$C$1:'0517'!G$48,4,FALSE),F21-D21))</f>
        <v>2</v>
      </c>
      <c r="K21" s="8">
        <f ca="1">G21-IFERROR(VLOOKUP($A21,'0517'!$A$1:'0517'!H$44,7,FALSE),IFERROR(VLOOKUP($C21,'0517'!$C$1:'0517'!H$44,5,FALSE),G21-E21))</f>
        <v>0</v>
      </c>
      <c r="L21" s="4">
        <f ca="1" t="shared" si="2"/>
        <v>0</v>
      </c>
      <c r="M21" s="2" t="s">
        <v>117</v>
      </c>
    </row>
    <row r="22" s="2" customFormat="1" spans="1:12">
      <c r="A22" s="2" t="s">
        <v>27</v>
      </c>
      <c r="B22" s="2" t="s">
        <v>10</v>
      </c>
      <c r="C22" s="9">
        <v>45769</v>
      </c>
      <c r="D22" s="2">
        <v>49</v>
      </c>
      <c r="E22" s="2">
        <v>14</v>
      </c>
      <c r="F22" s="2">
        <v>647</v>
      </c>
      <c r="G22" s="2">
        <v>362</v>
      </c>
      <c r="H22" s="4">
        <f t="shared" si="0"/>
        <v>0.285714285714286</v>
      </c>
      <c r="I22" s="4">
        <f t="shared" si="1"/>
        <v>0.559505409582689</v>
      </c>
      <c r="J22" s="7">
        <f ca="1">F22-IFERROR(VLOOKUP($A22,'0517'!$A$1:'0517'!G$48,6,FALSE),IFERROR(VLOOKUP($C22,'0517'!$C$1:'0517'!G$48,4,FALSE),F22-D22))</f>
        <v>3</v>
      </c>
      <c r="K22" s="8">
        <f ca="1">G22-IFERROR(VLOOKUP($A22,'0517'!$A$1:'0517'!H$44,7,FALSE),IFERROR(VLOOKUP($C22,'0517'!$C$1:'0517'!H$44,5,FALSE),G22-E22))</f>
        <v>0</v>
      </c>
      <c r="L22" s="4">
        <f ca="1" t="shared" si="2"/>
        <v>0</v>
      </c>
    </row>
    <row r="23" s="2" customFormat="1" spans="1:13">
      <c r="A23" s="2" t="s">
        <v>28</v>
      </c>
      <c r="B23" s="2" t="s">
        <v>10</v>
      </c>
      <c r="C23" s="9">
        <v>45768</v>
      </c>
      <c r="D23" s="2">
        <v>16</v>
      </c>
      <c r="E23" s="2">
        <v>6</v>
      </c>
      <c r="F23" s="2">
        <v>235</v>
      </c>
      <c r="G23" s="2">
        <v>609</v>
      </c>
      <c r="H23" s="4">
        <f t="shared" si="0"/>
        <v>0.375</v>
      </c>
      <c r="I23" s="4">
        <f t="shared" si="1"/>
        <v>2.59148936170213</v>
      </c>
      <c r="J23" s="7">
        <f ca="1">F23-IFERROR(VLOOKUP($A23,'0517'!$A$1:'0517'!G$48,6,FALSE),IFERROR(VLOOKUP($C23,'0517'!$C$1:'0517'!G$48,4,FALSE),F23-D23))</f>
        <v>0</v>
      </c>
      <c r="K23" s="8">
        <f ca="1">G23-IFERROR(VLOOKUP($A23,'0517'!$A$1:'0517'!H$44,7,FALSE),IFERROR(VLOOKUP($C23,'0517'!$C$1:'0517'!H$44,5,FALSE),G23-E23))</f>
        <v>0</v>
      </c>
      <c r="L23" s="4">
        <f ca="1" t="shared" si="2"/>
        <v>0</v>
      </c>
      <c r="M23" s="2" t="s">
        <v>104</v>
      </c>
    </row>
    <row r="24" s="2" customFormat="1" spans="1:13">
      <c r="A24" s="2" t="s">
        <v>34</v>
      </c>
      <c r="B24" s="2" t="s">
        <v>10</v>
      </c>
      <c r="C24" s="9">
        <v>45765</v>
      </c>
      <c r="D24" s="2">
        <v>11</v>
      </c>
      <c r="E24" s="2">
        <v>6</v>
      </c>
      <c r="F24" s="2">
        <v>418</v>
      </c>
      <c r="G24" s="2">
        <v>458</v>
      </c>
      <c r="H24" s="4">
        <f t="shared" si="0"/>
        <v>0.545454545454545</v>
      </c>
      <c r="I24" s="4">
        <f t="shared" si="1"/>
        <v>1.09569377990431</v>
      </c>
      <c r="J24" s="7">
        <f ca="1">F24-IFERROR(VLOOKUP($A24,'0517'!$A$1:'0517'!G$48,6,FALSE),IFERROR(VLOOKUP($C24,'0517'!$C$1:'0517'!G$48,4,FALSE),F24-D24))</f>
        <v>0</v>
      </c>
      <c r="K24" s="8">
        <f ca="1">G24-IFERROR(VLOOKUP($A24,'0517'!$A$1:'0517'!H$44,7,FALSE),IFERROR(VLOOKUP($C24,'0517'!$C$1:'0517'!H$44,5,FALSE),G24-E24))</f>
        <v>0</v>
      </c>
      <c r="L24" s="4">
        <f ca="1" t="shared" si="2"/>
        <v>0</v>
      </c>
      <c r="M24" s="2" t="s">
        <v>106</v>
      </c>
    </row>
    <row r="25" s="2" customFormat="1" spans="1:13">
      <c r="A25" s="2" t="s">
        <v>118</v>
      </c>
      <c r="B25" s="2" t="s">
        <v>10</v>
      </c>
      <c r="C25" s="9">
        <v>45759</v>
      </c>
      <c r="D25" s="2">
        <v>7</v>
      </c>
      <c r="E25" s="2">
        <v>5</v>
      </c>
      <c r="F25" s="2">
        <v>524</v>
      </c>
      <c r="G25" s="2">
        <v>647</v>
      </c>
      <c r="H25" s="4">
        <f t="shared" si="0"/>
        <v>0.714285714285714</v>
      </c>
      <c r="I25" s="4">
        <f t="shared" si="1"/>
        <v>1.23473282442748</v>
      </c>
      <c r="J25" s="7">
        <f ca="1">F25-IFERROR(VLOOKUP($A25,'0517'!$A$1:'0517'!G$48,6,FALSE),IFERROR(VLOOKUP($C25,'0517'!$C$1:'0517'!G$48,4,FALSE),F25-D25))</f>
        <v>1</v>
      </c>
      <c r="K25" s="8">
        <f ca="1">G25-IFERROR(VLOOKUP($A25,'0517'!$A$1:'0517'!H$44,7,FALSE),IFERROR(VLOOKUP($C25,'0517'!$C$1:'0517'!H$44,5,FALSE),G25-E25))</f>
        <v>0</v>
      </c>
      <c r="L25" s="4">
        <f ca="1" t="shared" si="2"/>
        <v>0</v>
      </c>
      <c r="M25" s="2" t="s">
        <v>119</v>
      </c>
    </row>
    <row r="26" s="2" customFormat="1" spans="1:12">
      <c r="A26" s="2" t="s">
        <v>114</v>
      </c>
      <c r="B26" s="2" t="s">
        <v>10</v>
      </c>
      <c r="C26" s="9">
        <v>45756</v>
      </c>
      <c r="D26" s="2">
        <v>17</v>
      </c>
      <c r="E26" s="2">
        <v>5</v>
      </c>
      <c r="F26" s="2">
        <v>477</v>
      </c>
      <c r="G26" s="2">
        <v>619</v>
      </c>
      <c r="H26" s="4">
        <f t="shared" si="0"/>
        <v>0.294117647058824</v>
      </c>
      <c r="I26" s="4">
        <f t="shared" si="1"/>
        <v>1.29769392033543</v>
      </c>
      <c r="J26" s="7">
        <f ca="1">F26-IFERROR(VLOOKUP($A26,'0517'!$A$1:'0517'!G$48,6,FALSE),IFERROR(VLOOKUP($C26,'0517'!$C$1:'0517'!G$48,4,FALSE),F26-D26))</f>
        <v>1</v>
      </c>
      <c r="K26" s="8">
        <f ca="1">G26-IFERROR(VLOOKUP($A26,'0517'!$A$1:'0517'!H$44,7,FALSE),IFERROR(VLOOKUP($C26,'0517'!$C$1:'0517'!H$44,5,FALSE),G26-E26))</f>
        <v>0</v>
      </c>
      <c r="L26" s="4">
        <f ca="1" t="shared" si="2"/>
        <v>0</v>
      </c>
    </row>
    <row r="27" s="2" customFormat="1" spans="1:13">
      <c r="A27" s="2" t="s">
        <v>52</v>
      </c>
      <c r="B27" s="2" t="s">
        <v>10</v>
      </c>
      <c r="C27" s="9">
        <v>45743</v>
      </c>
      <c r="D27" s="2">
        <v>173</v>
      </c>
      <c r="E27" s="2">
        <v>80</v>
      </c>
      <c r="F27" s="2">
        <v>5181</v>
      </c>
      <c r="G27" s="2">
        <v>2091</v>
      </c>
      <c r="H27" s="4">
        <f t="shared" si="0"/>
        <v>0.46242774566474</v>
      </c>
      <c r="I27" s="4">
        <f t="shared" si="1"/>
        <v>0.403590040532716</v>
      </c>
      <c r="J27" s="7">
        <f ca="1">F27-IFERROR(VLOOKUP($A27,'0517'!$A$1:'0517'!G$48,6,FALSE),IFERROR(VLOOKUP($C27,'0517'!$C$1:'0517'!G$48,4,FALSE),F27-D27))</f>
        <v>3</v>
      </c>
      <c r="K27" s="8">
        <f ca="1">G27-IFERROR(VLOOKUP($A27,'0517'!$A$1:'0517'!H$44,7,FALSE),IFERROR(VLOOKUP($C27,'0517'!$C$1:'0517'!H$44,5,FALSE),G27-E27))</f>
        <v>0</v>
      </c>
      <c r="L27" s="4">
        <f ca="1" t="shared" si="2"/>
        <v>0</v>
      </c>
      <c r="M27" s="2" t="s">
        <v>53</v>
      </c>
    </row>
    <row r="28" s="2" customFormat="1" spans="1:14">
      <c r="A28" s="2" t="s">
        <v>98</v>
      </c>
      <c r="B28" s="2" t="s">
        <v>10</v>
      </c>
      <c r="C28" s="9">
        <v>45731</v>
      </c>
      <c r="D28" s="2">
        <v>88</v>
      </c>
      <c r="E28" s="2">
        <v>257</v>
      </c>
      <c r="F28" s="2">
        <v>334</v>
      </c>
      <c r="G28" s="2">
        <v>753</v>
      </c>
      <c r="H28" s="4">
        <f t="shared" si="0"/>
        <v>2.92045454545455</v>
      </c>
      <c r="I28" s="4">
        <f t="shared" si="1"/>
        <v>2.25449101796407</v>
      </c>
      <c r="J28" s="7">
        <f ca="1">F28-IFERROR(VLOOKUP($A28,'0517'!$A$1:'0517'!G$48,6,FALSE),IFERROR(VLOOKUP($C28,'0517'!$C$1:'0517'!G$48,4,FALSE),F28-D28))</f>
        <v>1</v>
      </c>
      <c r="K28" s="8">
        <f ca="1">G28-IFERROR(VLOOKUP($A28,'0517'!$A$1:'0517'!H$44,7,FALSE),IFERROR(VLOOKUP($C28,'0517'!$C$1:'0517'!H$44,5,FALSE),G28-E28))</f>
        <v>0</v>
      </c>
      <c r="L28" s="4">
        <f ca="1" t="shared" si="2"/>
        <v>0</v>
      </c>
      <c r="M28" s="2" t="s">
        <v>99</v>
      </c>
      <c r="N28" s="2" t="s">
        <v>100</v>
      </c>
    </row>
    <row r="29" s="2" customFormat="1" spans="1:13">
      <c r="A29" s="2" t="s">
        <v>58</v>
      </c>
      <c r="B29" s="2" t="s">
        <v>10</v>
      </c>
      <c r="C29" s="9">
        <v>45719</v>
      </c>
      <c r="D29" s="2">
        <v>10</v>
      </c>
      <c r="E29" s="2">
        <v>5</v>
      </c>
      <c r="F29" s="2">
        <v>393</v>
      </c>
      <c r="G29" s="2">
        <v>662</v>
      </c>
      <c r="H29" s="4">
        <f t="shared" si="0"/>
        <v>0.5</v>
      </c>
      <c r="I29" s="4">
        <f t="shared" si="1"/>
        <v>1.68447837150127</v>
      </c>
      <c r="J29" s="7">
        <f ca="1">F29-IFERROR(VLOOKUP($A29,'0517'!$A$1:'0517'!G$48,6,FALSE),IFERROR(VLOOKUP($C29,'0517'!$C$1:'0517'!G$48,4,FALSE),F29-D29))</f>
        <v>3</v>
      </c>
      <c r="K29" s="8">
        <f ca="1">G29-IFERROR(VLOOKUP($A29,'0517'!$A$1:'0517'!H$44,7,FALSE),IFERROR(VLOOKUP($C29,'0517'!$C$1:'0517'!H$44,5,FALSE),G29-E29))</f>
        <v>0</v>
      </c>
      <c r="L29" s="4">
        <f ca="1" t="shared" si="2"/>
        <v>0</v>
      </c>
      <c r="M29" s="2" t="s">
        <v>122</v>
      </c>
    </row>
    <row r="30" s="2" customFormat="1" spans="1:13">
      <c r="A30" s="2" t="s">
        <v>110</v>
      </c>
      <c r="B30" s="2" t="s">
        <v>10</v>
      </c>
      <c r="C30" s="9">
        <v>45686</v>
      </c>
      <c r="D30" s="2">
        <v>8</v>
      </c>
      <c r="E30" s="2">
        <v>3</v>
      </c>
      <c r="F30" s="2">
        <v>450</v>
      </c>
      <c r="G30" s="2">
        <v>347</v>
      </c>
      <c r="H30" s="4">
        <f t="shared" si="0"/>
        <v>0.375</v>
      </c>
      <c r="I30" s="4">
        <f t="shared" si="1"/>
        <v>0.771111111111111</v>
      </c>
      <c r="J30" s="7">
        <f ca="1">F30-IFERROR(VLOOKUP($A30,'0517'!$A$1:'0517'!G$48,6,FALSE),IFERROR(VLOOKUP($C30,'0517'!$C$1:'0517'!G$48,4,FALSE),F30-D30))</f>
        <v>0</v>
      </c>
      <c r="K30" s="8">
        <f ca="1">G30-IFERROR(VLOOKUP($A30,'0517'!$A$1:'0517'!H$44,7,FALSE),IFERROR(VLOOKUP($C30,'0517'!$C$1:'0517'!H$44,5,FALSE),G30-E30))</f>
        <v>0</v>
      </c>
      <c r="L30" s="4">
        <f ca="1" t="shared" si="2"/>
        <v>0</v>
      </c>
      <c r="M30" s="13" t="s">
        <v>111</v>
      </c>
    </row>
    <row r="31" s="2" customFormat="1" spans="1:13">
      <c r="A31" s="2" t="s">
        <v>123</v>
      </c>
      <c r="B31" s="2" t="s">
        <v>10</v>
      </c>
      <c r="C31" s="9">
        <v>45685</v>
      </c>
      <c r="D31" s="2">
        <v>32</v>
      </c>
      <c r="E31" s="2">
        <v>6</v>
      </c>
      <c r="F31" s="2">
        <v>143</v>
      </c>
      <c r="G31" s="2">
        <v>524</v>
      </c>
      <c r="H31" s="4">
        <f t="shared" si="0"/>
        <v>0.1875</v>
      </c>
      <c r="I31" s="4">
        <f t="shared" si="1"/>
        <v>3.66433566433566</v>
      </c>
      <c r="J31" s="7">
        <f ca="1">F31-IFERROR(VLOOKUP($A31,'0517'!$A$1:'0517'!G$48,6,FALSE),IFERROR(VLOOKUP($C31,'0517'!$C$1:'0517'!G$48,4,FALSE),F31-D31))</f>
        <v>6</v>
      </c>
      <c r="K31" s="8">
        <f ca="1">G31-IFERROR(VLOOKUP($A31,'0517'!$A$1:'0517'!H$44,7,FALSE),IFERROR(VLOOKUP($C31,'0517'!$C$1:'0517'!H$44,5,FALSE),G31-E31))</f>
        <v>0</v>
      </c>
      <c r="L31" s="4">
        <f ca="1" t="shared" si="2"/>
        <v>0</v>
      </c>
      <c r="M31" s="2" t="s">
        <v>124</v>
      </c>
    </row>
    <row r="32" s="2" customFormat="1" spans="1:13">
      <c r="A32" s="2" t="s">
        <v>125</v>
      </c>
      <c r="B32" s="2" t="s">
        <v>10</v>
      </c>
      <c r="C32" s="9">
        <v>45626</v>
      </c>
      <c r="D32" s="2">
        <v>16</v>
      </c>
      <c r="E32" s="2">
        <v>6</v>
      </c>
      <c r="F32" s="2">
        <v>212</v>
      </c>
      <c r="G32" s="2">
        <v>519</v>
      </c>
      <c r="H32" s="4">
        <f t="shared" si="0"/>
        <v>0.375</v>
      </c>
      <c r="I32" s="4">
        <f t="shared" si="1"/>
        <v>2.44811320754717</v>
      </c>
      <c r="J32" s="7">
        <f ca="1">F32-IFERROR(VLOOKUP($A32,'0517'!$A$1:'0517'!G$48,6,FALSE),IFERROR(VLOOKUP($C32,'0517'!$C$1:'0517'!G$48,4,FALSE),F32-D32))</f>
        <v>9</v>
      </c>
      <c r="K32" s="8">
        <f ca="1">G32-IFERROR(VLOOKUP($A32,'0517'!$A$1:'0517'!H$44,7,FALSE),IFERROR(VLOOKUP($C32,'0517'!$C$1:'0517'!H$44,5,FALSE),G32-E32))</f>
        <v>0</v>
      </c>
      <c r="L32" s="4">
        <f ca="1" t="shared" si="2"/>
        <v>0</v>
      </c>
      <c r="M32" s="2" t="s">
        <v>126</v>
      </c>
    </row>
    <row r="33" s="2" customFormat="1" spans="1:13">
      <c r="A33" s="2" t="s">
        <v>127</v>
      </c>
      <c r="B33" s="2" t="s">
        <v>10</v>
      </c>
      <c r="C33" s="9">
        <v>45547</v>
      </c>
      <c r="D33" s="2">
        <v>24</v>
      </c>
      <c r="E33" s="2">
        <v>1</v>
      </c>
      <c r="F33" s="2">
        <v>9095</v>
      </c>
      <c r="G33" s="2">
        <v>2509</v>
      </c>
      <c r="H33" s="4">
        <f t="shared" si="0"/>
        <v>0.0416666666666667</v>
      </c>
      <c r="I33" s="4">
        <f t="shared" si="1"/>
        <v>0.275865860362837</v>
      </c>
      <c r="J33" s="7">
        <f ca="1">F33-IFERROR(VLOOKUP($A33,'0517'!$A$1:'0517'!G$48,6,FALSE),IFERROR(VLOOKUP($C33,'0517'!$C$1:'0517'!G$48,4,FALSE),F33-D33))</f>
        <v>6</v>
      </c>
      <c r="K33" s="8">
        <f ca="1">G33-IFERROR(VLOOKUP($A33,'0517'!$A$1:'0517'!H$44,7,FALSE),IFERROR(VLOOKUP($C33,'0517'!$C$1:'0517'!H$44,5,FALSE),G33-E33))</f>
        <v>0</v>
      </c>
      <c r="L33" s="4">
        <f ca="1" t="shared" si="2"/>
        <v>0</v>
      </c>
      <c r="M33" s="2" t="s">
        <v>128</v>
      </c>
    </row>
    <row r="34" spans="11:11">
      <c r="K34" s="2">
        <f ca="1">SUM(K2:K33)</f>
        <v>562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6"/>
  <sheetViews>
    <sheetView topLeftCell="A4" workbookViewId="0">
      <selection activeCell="A12" sqref="$A12:$XFD12"/>
    </sheetView>
  </sheetViews>
  <sheetFormatPr defaultColWidth="10" defaultRowHeight="14.4"/>
  <cols>
    <col min="1" max="1" width="47" style="2" customWidth="1"/>
    <col min="2" max="2" width="10" style="2" hidden="1" customWidth="1"/>
    <col min="3" max="3" width="10.5555555555556" style="2" customWidth="1"/>
    <col min="4" max="7" width="5.88888888888889" style="2" customWidth="1"/>
    <col min="8" max="9" width="6.77777777777778" style="2" customWidth="1"/>
    <col min="10" max="10" width="7.66666666666667" style="2" customWidth="1"/>
    <col min="11" max="12" width="6.77777777777778" style="2" customWidth="1"/>
    <col min="13" max="13" width="18.6666666666667" style="2" customWidth="1"/>
    <col min="14" max="14" width="19.6666666666667" style="2" customWidth="1"/>
    <col min="15" max="16384" width="10" style="2"/>
  </cols>
  <sheetData>
    <row r="1" s="2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J1" s="5" t="s">
        <v>7</v>
      </c>
      <c r="K1" s="5" t="s">
        <v>8</v>
      </c>
    </row>
    <row r="2" s="2" customFormat="1" spans="1:12">
      <c r="A2" s="2" t="s">
        <v>132</v>
      </c>
      <c r="B2" s="2" t="s">
        <v>10</v>
      </c>
      <c r="C2" s="9">
        <v>45795</v>
      </c>
      <c r="D2" s="2">
        <v>54</v>
      </c>
      <c r="E2" s="2">
        <v>101</v>
      </c>
      <c r="F2" s="2">
        <v>54</v>
      </c>
      <c r="G2" s="2">
        <v>101</v>
      </c>
      <c r="H2" s="4">
        <f>E2/D2</f>
        <v>1.87037037037037</v>
      </c>
      <c r="I2" s="4">
        <f>G2/F2</f>
        <v>1.87037037037037</v>
      </c>
      <c r="J2" s="7">
        <f ca="1">F2-IFERROR(VLOOKUP($A2,'0518'!$A$1:'0518'!G$48,6,FALSE),IFERROR(VLOOKUP($C2,'0518'!$C$1:'0518'!G$48,4,FALSE),F2-D2))</f>
        <v>54</v>
      </c>
      <c r="K2" s="8">
        <f ca="1">G2-IFERROR(VLOOKUP($A2,'0518'!$A$1:'0518'!H$44,7,FALSE),IFERROR(VLOOKUP($C2,'0518'!$C$1:'0518'!H$44,5,FALSE),G2-E2))</f>
        <v>101</v>
      </c>
      <c r="L2" s="4">
        <f ca="1">IFERROR(K2/J2,)</f>
        <v>1.87037037037037</v>
      </c>
    </row>
    <row r="3" s="2" customFormat="1" spans="1:12">
      <c r="A3" s="2" t="s">
        <v>129</v>
      </c>
      <c r="B3" s="2" t="s">
        <v>10</v>
      </c>
      <c r="C3" s="9">
        <v>45794</v>
      </c>
      <c r="D3" s="2">
        <v>104</v>
      </c>
      <c r="E3" s="2">
        <v>256</v>
      </c>
      <c r="F3" s="2">
        <v>104</v>
      </c>
      <c r="G3" s="2">
        <v>256</v>
      </c>
      <c r="H3" s="4">
        <f t="shared" ref="H3:H35" si="0">E3/D3</f>
        <v>2.46153846153846</v>
      </c>
      <c r="I3" s="4">
        <f t="shared" ref="I3:I35" si="1">G3/F3</f>
        <v>2.46153846153846</v>
      </c>
      <c r="J3" s="7">
        <f ca="1">F3-IFERROR(VLOOKUP($A3,'0518'!$A$1:'0518'!G$48,6,FALSE),IFERROR(VLOOKUP($C3,'0518'!$C$1:'0518'!G$48,4,FALSE),F3-D3))</f>
        <v>25</v>
      </c>
      <c r="K3" s="8">
        <f ca="1">G3-IFERROR(VLOOKUP($A3,'0518'!$A$1:'0518'!H$44,7,FALSE),IFERROR(VLOOKUP($C3,'0518'!$C$1:'0518'!H$44,5,FALSE),G3-E3))</f>
        <v>90</v>
      </c>
      <c r="L3" s="4">
        <f ca="1" t="shared" ref="L3:L35" si="2">IFERROR(K3/J3,)</f>
        <v>3.6</v>
      </c>
    </row>
    <row r="4" s="2" customFormat="1" spans="1:12">
      <c r="A4" s="2" t="s">
        <v>130</v>
      </c>
      <c r="B4" s="2" t="s">
        <v>10</v>
      </c>
      <c r="C4" s="9">
        <v>45794</v>
      </c>
      <c r="D4" s="2">
        <v>163</v>
      </c>
      <c r="E4" s="2">
        <v>379</v>
      </c>
      <c r="F4" s="2">
        <v>163</v>
      </c>
      <c r="G4" s="2">
        <v>379</v>
      </c>
      <c r="H4" s="4">
        <f t="shared" si="0"/>
        <v>2.32515337423313</v>
      </c>
      <c r="I4" s="4">
        <f t="shared" si="1"/>
        <v>2.32515337423313</v>
      </c>
      <c r="J4" s="7">
        <f ca="1">F4-IFERROR(VLOOKUP($A4,'0518'!$A$1:'0518'!G$48,6,FALSE),IFERROR(VLOOKUP($C4,'0518'!$C$1:'0518'!G$48,4,FALSE),F4-D4))</f>
        <v>28</v>
      </c>
      <c r="K4" s="8">
        <f ca="1">G4-IFERROR(VLOOKUP($A4,'0518'!$A$1:'0518'!H$44,7,FALSE),IFERROR(VLOOKUP($C4,'0518'!$C$1:'0518'!H$44,5,FALSE),G4-E4))</f>
        <v>123</v>
      </c>
      <c r="L4" s="4">
        <f ca="1" t="shared" si="2"/>
        <v>4.39285714285714</v>
      </c>
    </row>
    <row r="5" s="2" customFormat="1" spans="1:12">
      <c r="A5" s="2" t="s">
        <v>120</v>
      </c>
      <c r="B5" s="2" t="s">
        <v>10</v>
      </c>
      <c r="C5" s="9">
        <v>45793</v>
      </c>
      <c r="D5" s="2">
        <v>177</v>
      </c>
      <c r="E5" s="2">
        <v>423</v>
      </c>
      <c r="F5" s="2">
        <v>177</v>
      </c>
      <c r="G5" s="2">
        <v>423</v>
      </c>
      <c r="H5" s="4">
        <f t="shared" si="0"/>
        <v>2.38983050847458</v>
      </c>
      <c r="I5" s="4">
        <f t="shared" si="1"/>
        <v>2.38983050847458</v>
      </c>
      <c r="J5" s="7">
        <f ca="1">F5-IFERROR(VLOOKUP($A5,'0518'!$A$1:'0518'!G$48,6,FALSE),IFERROR(VLOOKUP($C5,'0518'!$C$1:'0518'!G$48,4,FALSE),F5-D5))</f>
        <v>22</v>
      </c>
      <c r="K5" s="8">
        <f ca="1">G5-IFERROR(VLOOKUP($A5,'0518'!$A$1:'0518'!H$44,7,FALSE),IFERROR(VLOOKUP($C5,'0518'!$C$1:'0518'!H$44,5,FALSE),G5-E5))</f>
        <v>0</v>
      </c>
      <c r="L5" s="4">
        <f ca="1" t="shared" si="2"/>
        <v>0</v>
      </c>
    </row>
    <row r="6" s="2" customFormat="1" spans="1:12">
      <c r="A6" s="2" t="s">
        <v>121</v>
      </c>
      <c r="B6" s="2" t="s">
        <v>10</v>
      </c>
      <c r="C6" s="9">
        <v>45793</v>
      </c>
      <c r="D6" s="2">
        <v>119</v>
      </c>
      <c r="E6" s="2">
        <v>191</v>
      </c>
      <c r="F6" s="2">
        <v>119</v>
      </c>
      <c r="G6" s="2">
        <v>191</v>
      </c>
      <c r="H6" s="4">
        <f t="shared" si="0"/>
        <v>1.60504201680672</v>
      </c>
      <c r="I6" s="4">
        <f t="shared" si="1"/>
        <v>1.60504201680672</v>
      </c>
      <c r="J6" s="7">
        <f ca="1">F6-IFERROR(VLOOKUP($A6,'0518'!$A$1:'0518'!G$48,6,FALSE),IFERROR(VLOOKUP($C6,'0518'!$C$1:'0518'!G$48,4,FALSE),F6-D6))</f>
        <v>4</v>
      </c>
      <c r="K6" s="8">
        <f ca="1">G6-IFERROR(VLOOKUP($A6,'0518'!$A$1:'0518'!H$44,7,FALSE),IFERROR(VLOOKUP($C6,'0518'!$C$1:'0518'!H$44,5,FALSE),G6-E6))</f>
        <v>0</v>
      </c>
      <c r="L6" s="4">
        <f ca="1" t="shared" si="2"/>
        <v>0</v>
      </c>
    </row>
    <row r="7" s="2" customFormat="1" spans="1:12">
      <c r="A7" s="2" t="s">
        <v>115</v>
      </c>
      <c r="B7" s="2" t="s">
        <v>10</v>
      </c>
      <c r="C7" s="9">
        <v>45792</v>
      </c>
      <c r="D7" s="2">
        <v>220</v>
      </c>
      <c r="E7" s="2">
        <v>226</v>
      </c>
      <c r="F7" s="2">
        <v>220</v>
      </c>
      <c r="G7" s="2">
        <v>226</v>
      </c>
      <c r="H7" s="4">
        <f t="shared" si="0"/>
        <v>1.02727272727273</v>
      </c>
      <c r="I7" s="4">
        <f t="shared" si="1"/>
        <v>1.02727272727273</v>
      </c>
      <c r="J7" s="7">
        <f ca="1">F7-IFERROR(VLOOKUP($A7,'0518'!$A$1:'0518'!G$48,6,FALSE),IFERROR(VLOOKUP($C7,'0518'!$C$1:'0518'!G$48,4,FALSE),F7-D7))</f>
        <v>5</v>
      </c>
      <c r="K7" s="8">
        <f ca="1">G7-IFERROR(VLOOKUP($A7,'0518'!$A$1:'0518'!H$44,7,FALSE),IFERROR(VLOOKUP($C7,'0518'!$C$1:'0518'!H$44,5,FALSE),G7-E7))</f>
        <v>0</v>
      </c>
      <c r="L7" s="4">
        <f ca="1" t="shared" si="2"/>
        <v>0</v>
      </c>
    </row>
    <row r="8" s="2" customFormat="1" spans="1:13">
      <c r="A8" s="2" t="s">
        <v>116</v>
      </c>
      <c r="B8" s="2" t="s">
        <v>10</v>
      </c>
      <c r="C8" s="9">
        <v>45792</v>
      </c>
      <c r="D8" s="2">
        <v>112</v>
      </c>
      <c r="E8" s="2">
        <v>326</v>
      </c>
      <c r="F8" s="2">
        <v>112</v>
      </c>
      <c r="G8" s="2">
        <v>326</v>
      </c>
      <c r="H8" s="4">
        <f t="shared" si="0"/>
        <v>2.91071428571429</v>
      </c>
      <c r="I8" s="4">
        <f t="shared" si="1"/>
        <v>2.91071428571429</v>
      </c>
      <c r="J8" s="7">
        <f ca="1">F8-IFERROR(VLOOKUP($A8,'0518'!$A$1:'0518'!G$48,6,FALSE),IFERROR(VLOOKUP($C8,'0518'!$C$1:'0518'!G$48,4,FALSE),F8-D8))</f>
        <v>7</v>
      </c>
      <c r="K8" s="8">
        <f ca="1">G8-IFERROR(VLOOKUP($A8,'0518'!$A$1:'0518'!H$44,7,FALSE),IFERROR(VLOOKUP($C8,'0518'!$C$1:'0518'!H$44,5,FALSE),G8-E8))</f>
        <v>0</v>
      </c>
      <c r="L8" s="4">
        <f ca="1" t="shared" si="2"/>
        <v>0</v>
      </c>
      <c r="M8" s="2" t="s">
        <v>133</v>
      </c>
    </row>
    <row r="9" s="2" customFormat="1" spans="1:12">
      <c r="A9" s="2" t="s">
        <v>112</v>
      </c>
      <c r="B9" s="2" t="s">
        <v>10</v>
      </c>
      <c r="C9" s="9">
        <v>45791</v>
      </c>
      <c r="D9" s="2">
        <v>286</v>
      </c>
      <c r="E9" s="2">
        <v>177</v>
      </c>
      <c r="F9" s="2">
        <v>286</v>
      </c>
      <c r="G9" s="2">
        <v>177</v>
      </c>
      <c r="H9" s="4">
        <f t="shared" si="0"/>
        <v>0.618881118881119</v>
      </c>
      <c r="I9" s="4">
        <f t="shared" si="1"/>
        <v>0.618881118881119</v>
      </c>
      <c r="J9" s="7">
        <f ca="1">F9-IFERROR(VLOOKUP($A9,'0518'!$A$1:'0518'!G$48,6,FALSE),IFERROR(VLOOKUP($C9,'0518'!$C$1:'0518'!G$48,4,FALSE),F9-D9))</f>
        <v>7</v>
      </c>
      <c r="K9" s="8">
        <f ca="1">G9-IFERROR(VLOOKUP($A9,'0518'!$A$1:'0518'!H$44,7,FALSE),IFERROR(VLOOKUP($C9,'0518'!$C$1:'0518'!H$44,5,FALSE),G9-E9))</f>
        <v>8</v>
      </c>
      <c r="L9" s="4">
        <f ca="1" t="shared" si="2"/>
        <v>1.14285714285714</v>
      </c>
    </row>
    <row r="10" s="2" customFormat="1" spans="1:12">
      <c r="A10" s="2" t="s">
        <v>113</v>
      </c>
      <c r="B10" s="2" t="s">
        <v>10</v>
      </c>
      <c r="C10" s="9">
        <v>45791</v>
      </c>
      <c r="D10" s="2">
        <v>260</v>
      </c>
      <c r="E10" s="2">
        <v>264</v>
      </c>
      <c r="F10" s="2">
        <v>260</v>
      </c>
      <c r="G10" s="2">
        <v>264</v>
      </c>
      <c r="H10" s="4">
        <f t="shared" si="0"/>
        <v>1.01538461538462</v>
      </c>
      <c r="I10" s="4">
        <f t="shared" si="1"/>
        <v>1.01538461538462</v>
      </c>
      <c r="J10" s="7">
        <f ca="1">F10-IFERROR(VLOOKUP($A10,'0518'!$A$1:'0518'!G$48,6,FALSE),IFERROR(VLOOKUP($C10,'0518'!$C$1:'0518'!G$48,4,FALSE),F10-D10))</f>
        <v>3</v>
      </c>
      <c r="K10" s="8">
        <f ca="1">G10-IFERROR(VLOOKUP($A10,'0518'!$A$1:'0518'!H$44,7,FALSE),IFERROR(VLOOKUP($C10,'0518'!$C$1:'0518'!H$44,5,FALSE),G10-E10))</f>
        <v>0</v>
      </c>
      <c r="L10" s="4">
        <f ca="1" t="shared" si="2"/>
        <v>0</v>
      </c>
    </row>
    <row r="11" s="2" customFormat="1" spans="1:12">
      <c r="A11" s="2" t="s">
        <v>107</v>
      </c>
      <c r="B11" s="2" t="s">
        <v>10</v>
      </c>
      <c r="C11" s="9">
        <v>45790</v>
      </c>
      <c r="D11" s="2">
        <v>321</v>
      </c>
      <c r="E11" s="2">
        <v>306</v>
      </c>
      <c r="F11" s="2">
        <v>321</v>
      </c>
      <c r="G11" s="2">
        <v>306</v>
      </c>
      <c r="H11" s="4">
        <f t="shared" si="0"/>
        <v>0.953271028037383</v>
      </c>
      <c r="I11" s="4">
        <f t="shared" si="1"/>
        <v>0.953271028037383</v>
      </c>
      <c r="J11" s="7">
        <f ca="1">F11-IFERROR(VLOOKUP($A11,'0518'!$A$1:'0518'!G$48,6,FALSE),IFERROR(VLOOKUP($C11,'0518'!$C$1:'0518'!G$48,4,FALSE),F11-D11))</f>
        <v>13</v>
      </c>
      <c r="K11" s="8">
        <f ca="1">G11-IFERROR(VLOOKUP($A11,'0518'!$A$1:'0518'!H$44,7,FALSE),IFERROR(VLOOKUP($C11,'0518'!$C$1:'0518'!H$44,5,FALSE),G11-E11))</f>
        <v>0</v>
      </c>
      <c r="L11" s="4">
        <f ca="1" t="shared" si="2"/>
        <v>0</v>
      </c>
    </row>
    <row r="12" s="2" customFormat="1" spans="1:13">
      <c r="A12" s="2" t="s">
        <v>108</v>
      </c>
      <c r="B12" s="2" t="s">
        <v>10</v>
      </c>
      <c r="C12" s="9">
        <v>45790</v>
      </c>
      <c r="D12" s="2">
        <v>5482</v>
      </c>
      <c r="E12" s="2">
        <v>1205</v>
      </c>
      <c r="F12" s="2">
        <v>5482</v>
      </c>
      <c r="G12" s="2">
        <v>1205</v>
      </c>
      <c r="H12" s="4">
        <f t="shared" si="0"/>
        <v>0.21981028821598</v>
      </c>
      <c r="I12" s="4">
        <f t="shared" si="1"/>
        <v>0.21981028821598</v>
      </c>
      <c r="J12" s="7">
        <f ca="1">F12-IFERROR(VLOOKUP($A12,'0518'!$A$1:'0518'!G$48,6,FALSE),IFERROR(VLOOKUP($C12,'0518'!$C$1:'0518'!G$48,4,FALSE),F12-D12))</f>
        <v>11</v>
      </c>
      <c r="K12" s="8">
        <f ca="1">G12-IFERROR(VLOOKUP($A12,'0518'!$A$1:'0518'!H$44,7,FALSE),IFERROR(VLOOKUP($C12,'0518'!$C$1:'0518'!H$44,5,FALSE),G12-E12))</f>
        <v>6</v>
      </c>
      <c r="L12" s="4">
        <f ca="1" t="shared" si="2"/>
        <v>0.545454545454545</v>
      </c>
      <c r="M12" s="2" t="s">
        <v>109</v>
      </c>
    </row>
    <row r="13" s="2" customFormat="1" spans="1:13">
      <c r="A13" s="2" t="s">
        <v>105</v>
      </c>
      <c r="B13" s="2" t="s">
        <v>10</v>
      </c>
      <c r="C13" s="9">
        <v>45789</v>
      </c>
      <c r="D13" s="2">
        <v>185</v>
      </c>
      <c r="E13" s="2">
        <v>564</v>
      </c>
      <c r="F13" s="2">
        <v>185</v>
      </c>
      <c r="G13" s="2">
        <v>564</v>
      </c>
      <c r="H13" s="4">
        <f t="shared" si="0"/>
        <v>3.04864864864865</v>
      </c>
      <c r="I13" s="4">
        <f t="shared" si="1"/>
        <v>3.04864864864865</v>
      </c>
      <c r="J13" s="7">
        <f ca="1">F13-IFERROR(VLOOKUP($A13,'0518'!$A$1:'0518'!G$48,6,FALSE),IFERROR(VLOOKUP($C13,'0518'!$C$1:'0518'!G$48,4,FALSE),F13-D13))</f>
        <v>16</v>
      </c>
      <c r="K13" s="8">
        <f ca="1">G13-IFERROR(VLOOKUP($A13,'0518'!$A$1:'0518'!H$44,7,FALSE),IFERROR(VLOOKUP($C13,'0518'!$C$1:'0518'!H$44,5,FALSE),G13-E13))</f>
        <v>51</v>
      </c>
      <c r="L13" s="4">
        <f ca="1" t="shared" si="2"/>
        <v>3.1875</v>
      </c>
      <c r="M13" s="2" t="s">
        <v>131</v>
      </c>
    </row>
    <row r="14" s="2" customFormat="1" spans="1:12">
      <c r="A14" s="2" t="s">
        <v>103</v>
      </c>
      <c r="B14" s="2" t="s">
        <v>10</v>
      </c>
      <c r="C14" s="9">
        <v>45788</v>
      </c>
      <c r="D14" s="2">
        <v>213</v>
      </c>
      <c r="E14" s="2">
        <v>360</v>
      </c>
      <c r="F14" s="2">
        <v>309</v>
      </c>
      <c r="G14" s="2">
        <v>674</v>
      </c>
      <c r="H14" s="4">
        <f t="shared" si="0"/>
        <v>1.69014084507042</v>
      </c>
      <c r="I14" s="4">
        <f t="shared" si="1"/>
        <v>2.18122977346278</v>
      </c>
      <c r="J14" s="7">
        <f ca="1">F14-IFERROR(VLOOKUP($A14,'0518'!$A$1:'0518'!G$48,6,FALSE),IFERROR(VLOOKUP($C14,'0518'!$C$1:'0518'!G$48,4,FALSE),F14-D14))</f>
        <v>9</v>
      </c>
      <c r="K14" s="8">
        <f ca="1">G14-IFERROR(VLOOKUP($A14,'0518'!$A$1:'0518'!H$44,7,FALSE),IFERROR(VLOOKUP($C14,'0518'!$C$1:'0518'!H$44,5,FALSE),G14-E14))</f>
        <v>0</v>
      </c>
      <c r="L14" s="4">
        <f ca="1" t="shared" si="2"/>
        <v>0</v>
      </c>
    </row>
    <row r="15" s="2" customFormat="1" spans="1:12">
      <c r="A15" s="2" t="s">
        <v>101</v>
      </c>
      <c r="B15" s="2" t="s">
        <v>10</v>
      </c>
      <c r="C15" s="9">
        <v>45787</v>
      </c>
      <c r="D15" s="2">
        <v>68</v>
      </c>
      <c r="E15" s="2">
        <v>108</v>
      </c>
      <c r="F15" s="2">
        <v>192</v>
      </c>
      <c r="G15" s="2">
        <v>759</v>
      </c>
      <c r="H15" s="4">
        <f t="shared" si="0"/>
        <v>1.58823529411765</v>
      </c>
      <c r="I15" s="4">
        <f t="shared" si="1"/>
        <v>3.953125</v>
      </c>
      <c r="J15" s="7">
        <f ca="1">F15-IFERROR(VLOOKUP($A15,'0518'!$A$1:'0518'!G$48,6,FALSE),IFERROR(VLOOKUP($C15,'0518'!$C$1:'0518'!G$48,4,FALSE),F15-D15))</f>
        <v>0</v>
      </c>
      <c r="K15" s="8">
        <f ca="1">G15-IFERROR(VLOOKUP($A15,'0518'!$A$1:'0518'!H$44,7,FALSE),IFERROR(VLOOKUP($C15,'0518'!$C$1:'0518'!H$44,5,FALSE),G15-E15))</f>
        <v>0</v>
      </c>
      <c r="L15" s="4">
        <f ca="1" t="shared" si="2"/>
        <v>0</v>
      </c>
    </row>
    <row r="16" s="2" customFormat="1" spans="1:13">
      <c r="A16" s="2" t="s">
        <v>93</v>
      </c>
      <c r="B16" s="2" t="s">
        <v>10</v>
      </c>
      <c r="C16" s="9">
        <v>45786</v>
      </c>
      <c r="D16" s="2">
        <v>150</v>
      </c>
      <c r="E16" s="2">
        <v>6</v>
      </c>
      <c r="F16" s="2">
        <v>319</v>
      </c>
      <c r="G16" s="2">
        <v>287</v>
      </c>
      <c r="H16" s="4">
        <f t="shared" si="0"/>
        <v>0.04</v>
      </c>
      <c r="I16" s="4">
        <f t="shared" si="1"/>
        <v>0.899686520376176</v>
      </c>
      <c r="J16" s="7">
        <f ca="1">F16-IFERROR(VLOOKUP($A16,'0518'!$A$1:'0518'!G$48,6,FALSE),IFERROR(VLOOKUP($C16,'0518'!$C$1:'0518'!G$48,4,FALSE),F16-D16))</f>
        <v>7</v>
      </c>
      <c r="K16" s="8">
        <f ca="1">G16-IFERROR(VLOOKUP($A16,'0518'!$A$1:'0518'!H$44,7,FALSE),IFERROR(VLOOKUP($C16,'0518'!$C$1:'0518'!H$44,5,FALSE),G16-E16))</f>
        <v>0</v>
      </c>
      <c r="L16" s="4">
        <f ca="1" t="shared" si="2"/>
        <v>0</v>
      </c>
      <c r="M16" s="2" t="s">
        <v>94</v>
      </c>
    </row>
    <row r="17" s="2" customFormat="1" spans="1:12">
      <c r="A17" s="2" t="s">
        <v>95</v>
      </c>
      <c r="B17" s="2" t="s">
        <v>10</v>
      </c>
      <c r="C17" s="9">
        <v>45786</v>
      </c>
      <c r="D17" s="2">
        <v>54</v>
      </c>
      <c r="E17" s="2">
        <v>44</v>
      </c>
      <c r="F17" s="2">
        <v>374</v>
      </c>
      <c r="G17" s="2">
        <v>363</v>
      </c>
      <c r="H17" s="4">
        <f t="shared" si="0"/>
        <v>0.814814814814815</v>
      </c>
      <c r="I17" s="4">
        <f t="shared" si="1"/>
        <v>0.970588235294118</v>
      </c>
      <c r="J17" s="7">
        <f ca="1">F17-IFERROR(VLOOKUP($A17,'0518'!$A$1:'0518'!G$48,6,FALSE),IFERROR(VLOOKUP($C17,'0518'!$C$1:'0518'!G$48,4,FALSE),F17-D17))</f>
        <v>5</v>
      </c>
      <c r="K17" s="8">
        <f ca="1">G17-IFERROR(VLOOKUP($A17,'0518'!$A$1:'0518'!H$44,7,FALSE),IFERROR(VLOOKUP($C17,'0518'!$C$1:'0518'!H$44,5,FALSE),G17-E17))</f>
        <v>0</v>
      </c>
      <c r="L17" s="4">
        <f ca="1" t="shared" si="2"/>
        <v>0</v>
      </c>
    </row>
    <row r="18" s="2" customFormat="1" spans="1:12">
      <c r="A18" s="2" t="s">
        <v>77</v>
      </c>
      <c r="B18" s="2" t="s">
        <v>10</v>
      </c>
      <c r="C18" s="9">
        <v>45782</v>
      </c>
      <c r="D18" s="2">
        <v>45</v>
      </c>
      <c r="E18" s="2">
        <v>4</v>
      </c>
      <c r="F18" s="2">
        <v>368</v>
      </c>
      <c r="G18" s="2">
        <v>220</v>
      </c>
      <c r="H18" s="4">
        <f t="shared" si="0"/>
        <v>0.0888888888888889</v>
      </c>
      <c r="I18" s="4">
        <f t="shared" si="1"/>
        <v>0.597826086956522</v>
      </c>
      <c r="J18" s="7">
        <f ca="1">F18-IFERROR(VLOOKUP($A18,'0518'!$A$1:'0518'!G$48,6,FALSE),IFERROR(VLOOKUP($C18,'0518'!$C$1:'0518'!G$48,4,FALSE),F18-D18))</f>
        <v>1</v>
      </c>
      <c r="K18" s="8">
        <f ca="1">G18-IFERROR(VLOOKUP($A18,'0518'!$A$1:'0518'!H$44,7,FALSE),IFERROR(VLOOKUP($C18,'0518'!$C$1:'0518'!H$44,5,FALSE),G18-E18))</f>
        <v>0</v>
      </c>
      <c r="L18" s="4">
        <f ca="1" t="shared" si="2"/>
        <v>0</v>
      </c>
    </row>
    <row r="19" s="2" customFormat="1" spans="1:12">
      <c r="A19" s="2" t="s">
        <v>72</v>
      </c>
      <c r="B19" s="2" t="s">
        <v>10</v>
      </c>
      <c r="C19" s="9">
        <v>45781</v>
      </c>
      <c r="D19" s="2">
        <v>21</v>
      </c>
      <c r="E19" s="2">
        <v>12</v>
      </c>
      <c r="F19" s="2">
        <v>329</v>
      </c>
      <c r="G19" s="2">
        <v>665</v>
      </c>
      <c r="H19" s="4">
        <f t="shared" si="0"/>
        <v>0.571428571428571</v>
      </c>
      <c r="I19" s="4">
        <f t="shared" si="1"/>
        <v>2.02127659574468</v>
      </c>
      <c r="J19" s="7">
        <f ca="1">F19-IFERROR(VLOOKUP($A19,'0518'!$A$1:'0518'!G$48,6,FALSE),IFERROR(VLOOKUP($C19,'0518'!$C$1:'0518'!G$48,4,FALSE),F19-D19))</f>
        <v>0</v>
      </c>
      <c r="K19" s="8">
        <f ca="1">G19-IFERROR(VLOOKUP($A19,'0518'!$A$1:'0518'!H$44,7,FALSE),IFERROR(VLOOKUP($C19,'0518'!$C$1:'0518'!H$44,5,FALSE),G19-E19))</f>
        <v>0</v>
      </c>
      <c r="L19" s="4">
        <f ca="1" t="shared" si="2"/>
        <v>0</v>
      </c>
    </row>
    <row r="20" s="2" customFormat="1" spans="1:12">
      <c r="A20" s="2" t="s">
        <v>134</v>
      </c>
      <c r="B20" s="2" t="s">
        <v>10</v>
      </c>
      <c r="C20" s="9">
        <v>45780</v>
      </c>
      <c r="D20" s="2">
        <v>121</v>
      </c>
      <c r="E20" s="2">
        <v>24</v>
      </c>
      <c r="F20" s="2">
        <v>1342</v>
      </c>
      <c r="G20" s="2">
        <v>561</v>
      </c>
      <c r="H20" s="4">
        <f t="shared" si="0"/>
        <v>0.198347107438017</v>
      </c>
      <c r="I20" s="4">
        <f t="shared" si="1"/>
        <v>0.418032786885246</v>
      </c>
      <c r="J20" s="7">
        <f ca="1">F20-IFERROR(VLOOKUP($A20,'0518'!$A$1:'0518'!G$48,6,FALSE),IFERROR(VLOOKUP($C20,'0518'!$C$1:'0518'!G$48,4,FALSE),F20-D20))</f>
        <v>5</v>
      </c>
      <c r="K20" s="8">
        <f ca="1">G20-IFERROR(VLOOKUP($A20,'0518'!$A$1:'0518'!H$44,7,FALSE),IFERROR(VLOOKUP($C20,'0518'!$C$1:'0518'!H$44,5,FALSE),G20-E20))</f>
        <v>0</v>
      </c>
      <c r="L20" s="4">
        <f ca="1" t="shared" si="2"/>
        <v>0</v>
      </c>
    </row>
    <row r="21" s="2" customFormat="1" spans="1:12">
      <c r="A21" s="2" t="s">
        <v>68</v>
      </c>
      <c r="B21" s="2" t="s">
        <v>10</v>
      </c>
      <c r="C21" s="9">
        <v>45779</v>
      </c>
      <c r="D21" s="2">
        <v>22</v>
      </c>
      <c r="E21" s="2">
        <v>12</v>
      </c>
      <c r="F21" s="2">
        <v>218</v>
      </c>
      <c r="G21" s="2">
        <v>159</v>
      </c>
      <c r="H21" s="4">
        <f t="shared" si="0"/>
        <v>0.545454545454545</v>
      </c>
      <c r="I21" s="4">
        <f t="shared" si="1"/>
        <v>0.729357798165138</v>
      </c>
      <c r="J21" s="7">
        <f ca="1">F21-IFERROR(VLOOKUP($A21,'0518'!$A$1:'0518'!G$48,6,FALSE),IFERROR(VLOOKUP($C21,'0518'!$C$1:'0518'!G$48,4,FALSE),F21-D21))</f>
        <v>1</v>
      </c>
      <c r="K21" s="8">
        <f ca="1">G21-IFERROR(VLOOKUP($A21,'0518'!$A$1:'0518'!H$44,7,FALSE),IFERROR(VLOOKUP($C21,'0518'!$C$1:'0518'!H$44,5,FALSE),G21-E21))</f>
        <v>0</v>
      </c>
      <c r="L21" s="4">
        <f ca="1" t="shared" si="2"/>
        <v>0</v>
      </c>
    </row>
    <row r="22" s="2" customFormat="1" spans="1:13">
      <c r="A22" s="2" t="s">
        <v>9</v>
      </c>
      <c r="B22" s="2" t="s">
        <v>10</v>
      </c>
      <c r="C22" s="9">
        <v>45777</v>
      </c>
      <c r="D22" s="2">
        <v>48</v>
      </c>
      <c r="E22" s="2">
        <v>28</v>
      </c>
      <c r="F22" s="2">
        <v>287</v>
      </c>
      <c r="G22" s="2">
        <v>332</v>
      </c>
      <c r="H22" s="4">
        <f t="shared" si="0"/>
        <v>0.583333333333333</v>
      </c>
      <c r="I22" s="4">
        <f t="shared" si="1"/>
        <v>1.15679442508711</v>
      </c>
      <c r="J22" s="7">
        <f ca="1">F22-IFERROR(VLOOKUP($A22,'0518'!$A$1:'0518'!G$48,6,FALSE),IFERROR(VLOOKUP($C22,'0518'!$C$1:'0518'!G$48,4,FALSE),F22-D22))</f>
        <v>1</v>
      </c>
      <c r="K22" s="8">
        <f ca="1">G22-IFERROR(VLOOKUP($A22,'0518'!$A$1:'0518'!H$44,7,FALSE),IFERROR(VLOOKUP($C22,'0518'!$C$1:'0518'!H$44,5,FALSE),G22-E22))</f>
        <v>0</v>
      </c>
      <c r="L22" s="4">
        <f ca="1" t="shared" si="2"/>
        <v>0</v>
      </c>
      <c r="M22" s="2" t="s">
        <v>117</v>
      </c>
    </row>
    <row r="23" s="2" customFormat="1" spans="1:12">
      <c r="A23" s="2" t="s">
        <v>27</v>
      </c>
      <c r="B23" s="2" t="s">
        <v>10</v>
      </c>
      <c r="C23" s="9">
        <v>45769</v>
      </c>
      <c r="D23" s="2">
        <v>46</v>
      </c>
      <c r="E23" s="2">
        <v>14</v>
      </c>
      <c r="F23" s="2">
        <v>647</v>
      </c>
      <c r="G23" s="2">
        <v>362</v>
      </c>
      <c r="H23" s="4">
        <f t="shared" si="0"/>
        <v>0.304347826086957</v>
      </c>
      <c r="I23" s="4">
        <f t="shared" si="1"/>
        <v>0.559505409582689</v>
      </c>
      <c r="J23" s="7">
        <f ca="1">F23-IFERROR(VLOOKUP($A23,'0518'!$A$1:'0518'!G$48,6,FALSE),IFERROR(VLOOKUP($C23,'0518'!$C$1:'0518'!G$48,4,FALSE),F23-D23))</f>
        <v>0</v>
      </c>
      <c r="K23" s="8">
        <f ca="1">G23-IFERROR(VLOOKUP($A23,'0518'!$A$1:'0518'!H$44,7,FALSE),IFERROR(VLOOKUP($C23,'0518'!$C$1:'0518'!H$44,5,FALSE),G23-E23))</f>
        <v>0</v>
      </c>
      <c r="L23" s="4">
        <f ca="1" t="shared" si="2"/>
        <v>0</v>
      </c>
    </row>
    <row r="24" s="2" customFormat="1" spans="1:13">
      <c r="A24" s="2" t="s">
        <v>34</v>
      </c>
      <c r="B24" s="2" t="s">
        <v>10</v>
      </c>
      <c r="C24" s="9">
        <v>45765</v>
      </c>
      <c r="D24" s="2">
        <v>11</v>
      </c>
      <c r="E24" s="2">
        <v>6</v>
      </c>
      <c r="F24" s="2">
        <v>418</v>
      </c>
      <c r="G24" s="2">
        <v>458</v>
      </c>
      <c r="H24" s="4">
        <f t="shared" si="0"/>
        <v>0.545454545454545</v>
      </c>
      <c r="I24" s="4">
        <f t="shared" si="1"/>
        <v>1.09569377990431</v>
      </c>
      <c r="J24" s="7">
        <f ca="1">F24-IFERROR(VLOOKUP($A24,'0518'!$A$1:'0518'!G$48,6,FALSE),IFERROR(VLOOKUP($C24,'0518'!$C$1:'0518'!G$48,4,FALSE),F24-D24))</f>
        <v>0</v>
      </c>
      <c r="K24" s="8">
        <f ca="1">G24-IFERROR(VLOOKUP($A24,'0518'!$A$1:'0518'!H$44,7,FALSE),IFERROR(VLOOKUP($C24,'0518'!$C$1:'0518'!H$44,5,FALSE),G24-E24))</f>
        <v>0</v>
      </c>
      <c r="L24" s="4">
        <f ca="1" t="shared" si="2"/>
        <v>0</v>
      </c>
      <c r="M24" s="2" t="s">
        <v>106</v>
      </c>
    </row>
    <row r="25" s="2" customFormat="1" spans="1:13">
      <c r="A25" s="2" t="s">
        <v>118</v>
      </c>
      <c r="B25" s="2" t="s">
        <v>10</v>
      </c>
      <c r="C25" s="9">
        <v>45759</v>
      </c>
      <c r="D25" s="2">
        <v>8</v>
      </c>
      <c r="E25" s="2">
        <v>5</v>
      </c>
      <c r="F25" s="2">
        <v>525</v>
      </c>
      <c r="G25" s="2">
        <v>647</v>
      </c>
      <c r="H25" s="4">
        <f t="shared" si="0"/>
        <v>0.625</v>
      </c>
      <c r="I25" s="4">
        <f t="shared" si="1"/>
        <v>1.23238095238095</v>
      </c>
      <c r="J25" s="7">
        <f ca="1">F25-IFERROR(VLOOKUP($A25,'0518'!$A$1:'0518'!G$48,6,FALSE),IFERROR(VLOOKUP($C25,'0518'!$C$1:'0518'!G$48,4,FALSE),F25-D25))</f>
        <v>1</v>
      </c>
      <c r="K25" s="8">
        <f ca="1">G25-IFERROR(VLOOKUP($A25,'0518'!$A$1:'0518'!H$44,7,FALSE),IFERROR(VLOOKUP($C25,'0518'!$C$1:'0518'!H$44,5,FALSE),G25-E25))</f>
        <v>0</v>
      </c>
      <c r="L25" s="4">
        <f ca="1" t="shared" si="2"/>
        <v>0</v>
      </c>
      <c r="M25" s="2" t="s">
        <v>119</v>
      </c>
    </row>
    <row r="26" s="2" customFormat="1" spans="1:12">
      <c r="A26" s="2" t="s">
        <v>114</v>
      </c>
      <c r="B26" s="2" t="s">
        <v>10</v>
      </c>
      <c r="C26" s="9">
        <v>45756</v>
      </c>
      <c r="D26" s="2">
        <v>25</v>
      </c>
      <c r="E26" s="2">
        <v>5</v>
      </c>
      <c r="F26" s="2">
        <v>485</v>
      </c>
      <c r="G26" s="2">
        <v>619</v>
      </c>
      <c r="H26" s="4">
        <f t="shared" si="0"/>
        <v>0.2</v>
      </c>
      <c r="I26" s="4">
        <f t="shared" si="1"/>
        <v>1.27628865979381</v>
      </c>
      <c r="J26" s="7">
        <f ca="1">F26-IFERROR(VLOOKUP($A26,'0518'!$A$1:'0518'!G$48,6,FALSE),IFERROR(VLOOKUP($C26,'0518'!$C$1:'0518'!G$48,4,FALSE),F26-D26))</f>
        <v>8</v>
      </c>
      <c r="K26" s="8">
        <f ca="1">G26-IFERROR(VLOOKUP($A26,'0518'!$A$1:'0518'!H$44,7,FALSE),IFERROR(VLOOKUP($C26,'0518'!$C$1:'0518'!H$44,5,FALSE),G26-E26))</f>
        <v>0</v>
      </c>
      <c r="L26" s="4">
        <f ca="1" t="shared" si="2"/>
        <v>0</v>
      </c>
    </row>
    <row r="27" s="2" customFormat="1" spans="1:13">
      <c r="A27" s="2" t="s">
        <v>52</v>
      </c>
      <c r="B27" s="2" t="s">
        <v>10</v>
      </c>
      <c r="C27" s="9">
        <v>45743</v>
      </c>
      <c r="D27" s="2">
        <v>151</v>
      </c>
      <c r="E27" s="2">
        <v>70</v>
      </c>
      <c r="F27" s="2">
        <v>5189</v>
      </c>
      <c r="G27" s="2">
        <v>2091</v>
      </c>
      <c r="H27" s="4">
        <f t="shared" si="0"/>
        <v>0.463576158940397</v>
      </c>
      <c r="I27" s="4">
        <f t="shared" si="1"/>
        <v>0.402967816534978</v>
      </c>
      <c r="J27" s="7">
        <f ca="1">F27-IFERROR(VLOOKUP($A27,'0518'!$A$1:'0518'!G$48,6,FALSE),IFERROR(VLOOKUP($C27,'0518'!$C$1:'0518'!G$48,4,FALSE),F27-D27))</f>
        <v>8</v>
      </c>
      <c r="K27" s="8">
        <f ca="1">G27-IFERROR(VLOOKUP($A27,'0518'!$A$1:'0518'!H$44,7,FALSE),IFERROR(VLOOKUP($C27,'0518'!$C$1:'0518'!H$44,5,FALSE),G27-E27))</f>
        <v>0</v>
      </c>
      <c r="L27" s="4">
        <f ca="1" t="shared" si="2"/>
        <v>0</v>
      </c>
      <c r="M27" s="2" t="s">
        <v>53</v>
      </c>
    </row>
    <row r="28" s="2" customFormat="1" spans="1:13">
      <c r="A28" s="2" t="s">
        <v>54</v>
      </c>
      <c r="B28" s="2" t="s">
        <v>10</v>
      </c>
      <c r="C28" s="9">
        <v>45741</v>
      </c>
      <c r="D28" s="2">
        <v>46</v>
      </c>
      <c r="E28" s="2">
        <v>5</v>
      </c>
      <c r="F28" s="2">
        <v>1373</v>
      </c>
      <c r="G28" s="2">
        <v>697</v>
      </c>
      <c r="H28" s="4">
        <f t="shared" si="0"/>
        <v>0.108695652173913</v>
      </c>
      <c r="I28" s="4">
        <f t="shared" si="1"/>
        <v>0.507647487254188</v>
      </c>
      <c r="J28" s="7">
        <f ca="1">F28-IFERROR(VLOOKUP($A28,'0518'!$A$1:'0518'!G$48,6,FALSE),IFERROR(VLOOKUP($C28,'0518'!$C$1:'0518'!G$48,4,FALSE),F28-D28))</f>
        <v>46</v>
      </c>
      <c r="K28" s="8">
        <f ca="1">G28-IFERROR(VLOOKUP($A28,'0518'!$A$1:'0518'!H$44,7,FALSE),IFERROR(VLOOKUP($C28,'0518'!$C$1:'0518'!H$44,5,FALSE),G28-E28))</f>
        <v>5</v>
      </c>
      <c r="L28" s="4">
        <f ca="1" t="shared" si="2"/>
        <v>0.108695652173913</v>
      </c>
      <c r="M28" s="2" t="s">
        <v>135</v>
      </c>
    </row>
    <row r="29" s="2" customFormat="1" spans="1:14">
      <c r="A29" s="2" t="s">
        <v>98</v>
      </c>
      <c r="B29" s="2" t="s">
        <v>10</v>
      </c>
      <c r="C29" s="9">
        <v>45731</v>
      </c>
      <c r="D29" s="2">
        <v>67</v>
      </c>
      <c r="E29" s="2">
        <v>190</v>
      </c>
      <c r="F29" s="2">
        <v>334</v>
      </c>
      <c r="G29" s="2">
        <v>753</v>
      </c>
      <c r="H29" s="4">
        <f t="shared" si="0"/>
        <v>2.83582089552239</v>
      </c>
      <c r="I29" s="4">
        <f t="shared" si="1"/>
        <v>2.25449101796407</v>
      </c>
      <c r="J29" s="7">
        <f ca="1">F29-IFERROR(VLOOKUP($A29,'0518'!$A$1:'0518'!G$48,6,FALSE),IFERROR(VLOOKUP($C29,'0518'!$C$1:'0518'!G$48,4,FALSE),F29-D29))</f>
        <v>0</v>
      </c>
      <c r="K29" s="8">
        <f ca="1">G29-IFERROR(VLOOKUP($A29,'0518'!$A$1:'0518'!H$44,7,FALSE),IFERROR(VLOOKUP($C29,'0518'!$C$1:'0518'!H$44,5,FALSE),G29-E29))</f>
        <v>0</v>
      </c>
      <c r="L29" s="4">
        <f ca="1" t="shared" si="2"/>
        <v>0</v>
      </c>
      <c r="M29" s="2" t="s">
        <v>99</v>
      </c>
      <c r="N29" s="2" t="s">
        <v>100</v>
      </c>
    </row>
    <row r="30" s="2" customFormat="1" spans="1:13">
      <c r="A30" s="2" t="s">
        <v>58</v>
      </c>
      <c r="B30" s="2" t="s">
        <v>10</v>
      </c>
      <c r="C30" s="9">
        <v>45719</v>
      </c>
      <c r="D30" s="2">
        <v>11</v>
      </c>
      <c r="E30" s="2">
        <v>5</v>
      </c>
      <c r="F30" s="2">
        <v>395</v>
      </c>
      <c r="G30" s="2">
        <v>662</v>
      </c>
      <c r="H30" s="4">
        <f t="shared" si="0"/>
        <v>0.454545454545455</v>
      </c>
      <c r="I30" s="4">
        <f t="shared" si="1"/>
        <v>1.67594936708861</v>
      </c>
      <c r="J30" s="7">
        <f ca="1">F30-IFERROR(VLOOKUP($A30,'0518'!$A$1:'0518'!G$48,6,FALSE),IFERROR(VLOOKUP($C30,'0518'!$C$1:'0518'!G$48,4,FALSE),F30-D30))</f>
        <v>2</v>
      </c>
      <c r="K30" s="8">
        <f ca="1">G30-IFERROR(VLOOKUP($A30,'0518'!$A$1:'0518'!H$44,7,FALSE),IFERROR(VLOOKUP($C30,'0518'!$C$1:'0518'!H$44,5,FALSE),G30-E30))</f>
        <v>0</v>
      </c>
      <c r="L30" s="4">
        <f ca="1" t="shared" si="2"/>
        <v>0</v>
      </c>
      <c r="M30" s="2" t="s">
        <v>122</v>
      </c>
    </row>
    <row r="31" s="2" customFormat="1" spans="1:13">
      <c r="A31" s="2" t="s">
        <v>110</v>
      </c>
      <c r="B31" s="2" t="s">
        <v>10</v>
      </c>
      <c r="C31" s="9">
        <v>45686</v>
      </c>
      <c r="D31" s="2">
        <v>8</v>
      </c>
      <c r="E31" s="2">
        <v>3</v>
      </c>
      <c r="F31" s="2">
        <v>450</v>
      </c>
      <c r="G31" s="2">
        <v>347</v>
      </c>
      <c r="H31" s="4">
        <f t="shared" si="0"/>
        <v>0.375</v>
      </c>
      <c r="I31" s="4">
        <f t="shared" si="1"/>
        <v>0.771111111111111</v>
      </c>
      <c r="J31" s="7">
        <f ca="1">F31-IFERROR(VLOOKUP($A31,'0518'!$A$1:'0518'!G$48,6,FALSE),IFERROR(VLOOKUP($C31,'0518'!$C$1:'0518'!G$48,4,FALSE),F31-D31))</f>
        <v>0</v>
      </c>
      <c r="K31" s="8">
        <f ca="1">G31-IFERROR(VLOOKUP($A31,'0518'!$A$1:'0518'!H$44,7,FALSE),IFERROR(VLOOKUP($C31,'0518'!$C$1:'0518'!H$44,5,FALSE),G31-E31))</f>
        <v>0</v>
      </c>
      <c r="L31" s="4">
        <f ca="1" t="shared" si="2"/>
        <v>0</v>
      </c>
      <c r="M31" s="13" t="s">
        <v>111</v>
      </c>
    </row>
    <row r="32" s="2" customFormat="1" spans="1:13">
      <c r="A32" s="2" t="s">
        <v>123</v>
      </c>
      <c r="B32" s="2" t="s">
        <v>10</v>
      </c>
      <c r="C32" s="9">
        <v>45685</v>
      </c>
      <c r="D32" s="2">
        <v>40</v>
      </c>
      <c r="E32" s="2">
        <v>6</v>
      </c>
      <c r="F32" s="2">
        <v>151</v>
      </c>
      <c r="G32" s="2">
        <v>524</v>
      </c>
      <c r="H32" s="4">
        <f t="shared" si="0"/>
        <v>0.15</v>
      </c>
      <c r="I32" s="4">
        <f t="shared" si="1"/>
        <v>3.47019867549669</v>
      </c>
      <c r="J32" s="7">
        <f ca="1">F32-IFERROR(VLOOKUP($A32,'0518'!$A$1:'0518'!G$48,6,FALSE),IFERROR(VLOOKUP($C32,'0518'!$C$1:'0518'!G$48,4,FALSE),F32-D32))</f>
        <v>8</v>
      </c>
      <c r="K32" s="8">
        <f ca="1">G32-IFERROR(VLOOKUP($A32,'0518'!$A$1:'0518'!H$44,7,FALSE),IFERROR(VLOOKUP($C32,'0518'!$C$1:'0518'!H$44,5,FALSE),G32-E32))</f>
        <v>0</v>
      </c>
      <c r="L32" s="4">
        <f ca="1" t="shared" si="2"/>
        <v>0</v>
      </c>
      <c r="M32" s="2" t="s">
        <v>124</v>
      </c>
    </row>
    <row r="33" s="2" customFormat="1" spans="1:13">
      <c r="A33" s="2" t="s">
        <v>125</v>
      </c>
      <c r="B33" s="2" t="s">
        <v>10</v>
      </c>
      <c r="C33" s="9">
        <v>45626</v>
      </c>
      <c r="D33" s="2">
        <v>20</v>
      </c>
      <c r="E33" s="2">
        <v>6</v>
      </c>
      <c r="F33" s="2">
        <v>216</v>
      </c>
      <c r="G33" s="2">
        <v>519</v>
      </c>
      <c r="H33" s="4">
        <f t="shared" si="0"/>
        <v>0.3</v>
      </c>
      <c r="I33" s="4">
        <f t="shared" si="1"/>
        <v>2.40277777777778</v>
      </c>
      <c r="J33" s="7">
        <f ca="1">F33-IFERROR(VLOOKUP($A33,'0518'!$A$1:'0518'!G$48,6,FALSE),IFERROR(VLOOKUP($C33,'0518'!$C$1:'0518'!G$48,4,FALSE),F33-D33))</f>
        <v>4</v>
      </c>
      <c r="K33" s="8">
        <f ca="1">G33-IFERROR(VLOOKUP($A33,'0518'!$A$1:'0518'!H$44,7,FALSE),IFERROR(VLOOKUP($C33,'0518'!$C$1:'0518'!H$44,5,FALSE),G33-E33))</f>
        <v>0</v>
      </c>
      <c r="L33" s="4">
        <f ca="1" t="shared" si="2"/>
        <v>0</v>
      </c>
      <c r="M33" s="2" t="s">
        <v>126</v>
      </c>
    </row>
    <row r="34" s="2" customFormat="1" spans="1:13">
      <c r="A34" s="2" t="s">
        <v>136</v>
      </c>
      <c r="B34" s="2" t="s">
        <v>10</v>
      </c>
      <c r="C34" s="9">
        <v>45609</v>
      </c>
      <c r="D34" s="2">
        <v>10</v>
      </c>
      <c r="E34" s="2">
        <v>1</v>
      </c>
      <c r="F34" s="2">
        <v>2597</v>
      </c>
      <c r="G34" s="2">
        <v>890</v>
      </c>
      <c r="H34" s="4">
        <f t="shared" si="0"/>
        <v>0.1</v>
      </c>
      <c r="I34" s="4">
        <f t="shared" si="1"/>
        <v>0.342703118983442</v>
      </c>
      <c r="J34" s="7">
        <f ca="1">F34-IFERROR(VLOOKUP($A34,'0518'!$A$1:'0518'!G$48,6,FALSE),IFERROR(VLOOKUP($C34,'0518'!$C$1:'0518'!G$48,4,FALSE),F34-D34))</f>
        <v>10</v>
      </c>
      <c r="K34" s="8">
        <f ca="1">G34-IFERROR(VLOOKUP($A34,'0518'!$A$1:'0518'!H$44,7,FALSE),IFERROR(VLOOKUP($C34,'0518'!$C$1:'0518'!H$44,5,FALSE),G34-E34))</f>
        <v>1</v>
      </c>
      <c r="L34" s="4">
        <f ca="1" t="shared" si="2"/>
        <v>0.1</v>
      </c>
      <c r="M34" s="2" t="s">
        <v>137</v>
      </c>
    </row>
    <row r="35" s="2" customFormat="1" spans="1:13">
      <c r="A35" s="2" t="s">
        <v>127</v>
      </c>
      <c r="B35" s="2" t="s">
        <v>10</v>
      </c>
      <c r="C35" s="9">
        <v>45547</v>
      </c>
      <c r="D35" s="2">
        <v>23</v>
      </c>
      <c r="E35" s="2">
        <v>1</v>
      </c>
      <c r="F35" s="2">
        <v>9096</v>
      </c>
      <c r="G35" s="2">
        <v>2509</v>
      </c>
      <c r="H35" s="4">
        <f t="shared" si="0"/>
        <v>0.0434782608695652</v>
      </c>
      <c r="I35" s="4">
        <f t="shared" si="1"/>
        <v>0.275835532102023</v>
      </c>
      <c r="J35" s="7">
        <f ca="1">F35-IFERROR(VLOOKUP($A35,'0518'!$A$1:'0518'!G$48,6,FALSE),IFERROR(VLOOKUP($C35,'0518'!$C$1:'0518'!G$48,4,FALSE),F35-D35))</f>
        <v>1</v>
      </c>
      <c r="K35" s="8">
        <f ca="1">G35-IFERROR(VLOOKUP($A35,'0518'!$A$1:'0518'!H$44,7,FALSE),IFERROR(VLOOKUP($C35,'0518'!$C$1:'0518'!H$44,5,FALSE),G35-E35))</f>
        <v>0</v>
      </c>
      <c r="L35" s="4">
        <f ca="1" t="shared" si="2"/>
        <v>0</v>
      </c>
      <c r="M35" s="2" t="s">
        <v>128</v>
      </c>
    </row>
    <row r="36" spans="11:11">
      <c r="K36" s="2">
        <f ca="1">SUM(K2:K35)</f>
        <v>385</v>
      </c>
    </row>
    <row r="46" s="12" customFormat="1" spans="1:15">
      <c r="A46" s="12" t="s">
        <v>138</v>
      </c>
      <c r="B46" s="12" t="s">
        <v>10</v>
      </c>
      <c r="C46" s="14">
        <v>45723</v>
      </c>
      <c r="D46" s="12">
        <v>34</v>
      </c>
      <c r="E46" s="12">
        <v>71</v>
      </c>
      <c r="F46" s="12">
        <v>111</v>
      </c>
      <c r="G46" s="12">
        <v>726</v>
      </c>
      <c r="H46" s="10">
        <v>2.08823529411765</v>
      </c>
      <c r="I46" s="10">
        <v>6.54054054054054</v>
      </c>
      <c r="J46" s="11">
        <v>2</v>
      </c>
      <c r="K46" s="11">
        <v>0</v>
      </c>
      <c r="L46" s="10">
        <v>0</v>
      </c>
      <c r="M46" s="12" t="s">
        <v>139</v>
      </c>
      <c r="N46" s="12" t="s">
        <v>140</v>
      </c>
      <c r="O46" s="12" t="s">
        <v>141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7"/>
  <sheetViews>
    <sheetView workbookViewId="0">
      <selection activeCell="A17" sqref="$A17:$XFD17"/>
    </sheetView>
  </sheetViews>
  <sheetFormatPr defaultColWidth="10" defaultRowHeight="14.4"/>
  <cols>
    <col min="1" max="1" width="49.4444444444444" style="2" customWidth="1"/>
    <col min="2" max="2" width="10" style="2" hidden="1" customWidth="1"/>
    <col min="3" max="3" width="10.7777777777778" style="2" customWidth="1"/>
    <col min="4" max="7" width="6.11111111111111" style="2" customWidth="1"/>
    <col min="8" max="9" width="6.77777777777778" style="2" customWidth="1"/>
    <col min="10" max="10" width="7.66666666666667" style="2" customWidth="1"/>
    <col min="11" max="12" width="6.77777777777778" style="2" customWidth="1"/>
    <col min="13" max="13" width="18.6666666666667" style="2" customWidth="1"/>
    <col min="14" max="14" width="19.6666666666667" style="2" customWidth="1"/>
    <col min="15" max="16384" width="10" style="2"/>
  </cols>
  <sheetData>
    <row r="1" s="2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J1" s="5" t="s">
        <v>7</v>
      </c>
      <c r="K1" s="5" t="s">
        <v>8</v>
      </c>
    </row>
    <row r="2" s="2" customFormat="1" spans="1:12">
      <c r="A2" s="2" t="s">
        <v>142</v>
      </c>
      <c r="B2" s="2" t="s">
        <v>10</v>
      </c>
      <c r="C2" s="9">
        <v>45796</v>
      </c>
      <c r="D2" s="2">
        <v>67</v>
      </c>
      <c r="E2" s="2">
        <v>170</v>
      </c>
      <c r="F2" s="2">
        <v>67</v>
      </c>
      <c r="G2" s="2">
        <v>170</v>
      </c>
      <c r="H2" s="4">
        <f>E2/D2</f>
        <v>2.53731343283582</v>
      </c>
      <c r="I2" s="4">
        <f>G2/F2</f>
        <v>2.53731343283582</v>
      </c>
      <c r="J2" s="7">
        <f ca="1">F2-IFERROR(VLOOKUP($A2,'0519'!$A$1:'0519'!G$48,6,FALSE),IFERROR(VLOOKUP($C2,'0519'!$C$1:'0519'!G$48,4,FALSE),F2-D2))</f>
        <v>67</v>
      </c>
      <c r="K2" s="8">
        <f ca="1">G2-IFERROR(VLOOKUP($A2,'0519'!$A$1:'0519'!H$44,7,FALSE),IFERROR(VLOOKUP($C2,'0519'!$C$1:'0519'!H$44,5,FALSE),G2-E2))</f>
        <v>170</v>
      </c>
      <c r="L2" s="4">
        <f ca="1">IFERROR(K2/J2,)</f>
        <v>2.53731343283582</v>
      </c>
    </row>
    <row r="3" s="2" customFormat="1" spans="1:12">
      <c r="A3" s="2" t="s">
        <v>132</v>
      </c>
      <c r="B3" s="2" t="s">
        <v>10</v>
      </c>
      <c r="C3" s="9">
        <v>45795</v>
      </c>
      <c r="D3" s="2">
        <v>110</v>
      </c>
      <c r="E3" s="2">
        <v>187</v>
      </c>
      <c r="F3" s="2">
        <v>110</v>
      </c>
      <c r="G3" s="2">
        <v>187</v>
      </c>
      <c r="H3" s="4">
        <f t="shared" ref="H3:H36" si="0">E3/D3</f>
        <v>1.7</v>
      </c>
      <c r="I3" s="4">
        <f t="shared" ref="I3:I36" si="1">G3/F3</f>
        <v>1.7</v>
      </c>
      <c r="J3" s="7">
        <f ca="1">F3-IFERROR(VLOOKUP($A3,'0519'!$A$1:'0519'!G$48,6,FALSE),IFERROR(VLOOKUP($C3,'0519'!$C$1:'0519'!G$48,4,FALSE),F3-D3))</f>
        <v>56</v>
      </c>
      <c r="K3" s="8">
        <f ca="1">G3-IFERROR(VLOOKUP($A3,'0519'!$A$1:'0519'!H$44,7,FALSE),IFERROR(VLOOKUP($C3,'0519'!$C$1:'0519'!H$44,5,FALSE),G3-E3))</f>
        <v>86</v>
      </c>
      <c r="L3" s="4">
        <f ca="1" t="shared" ref="L3:L36" si="2">IFERROR(K3/J3,)</f>
        <v>1.53571428571429</v>
      </c>
    </row>
    <row r="4" s="2" customFormat="1" spans="1:13">
      <c r="A4" s="2" t="s">
        <v>129</v>
      </c>
      <c r="B4" s="2" t="s">
        <v>10</v>
      </c>
      <c r="C4" s="9">
        <v>45794</v>
      </c>
      <c r="D4" s="2">
        <v>110</v>
      </c>
      <c r="E4" s="2">
        <v>256</v>
      </c>
      <c r="F4" s="2">
        <v>110</v>
      </c>
      <c r="G4" s="2">
        <v>256</v>
      </c>
      <c r="H4" s="4">
        <f t="shared" si="0"/>
        <v>2.32727272727273</v>
      </c>
      <c r="I4" s="4">
        <f t="shared" si="1"/>
        <v>2.32727272727273</v>
      </c>
      <c r="J4" s="7">
        <f ca="1">F4-IFERROR(VLOOKUP($A4,'0519'!$A$1:'0519'!G$48,6,FALSE),IFERROR(VLOOKUP($C4,'0519'!$C$1:'0519'!G$48,4,FALSE),F4-D4))</f>
        <v>6</v>
      </c>
      <c r="K4" s="8">
        <f ca="1">G4-IFERROR(VLOOKUP($A4,'0519'!$A$1:'0519'!H$44,7,FALSE),IFERROR(VLOOKUP($C4,'0519'!$C$1:'0519'!H$44,5,FALSE),G4-E4))</f>
        <v>0</v>
      </c>
      <c r="L4" s="4">
        <f ca="1" t="shared" si="2"/>
        <v>0</v>
      </c>
      <c r="M4" s="2" t="s">
        <v>143</v>
      </c>
    </row>
    <row r="5" s="2" customFormat="1" spans="1:12">
      <c r="A5" s="2" t="s">
        <v>130</v>
      </c>
      <c r="B5" s="2" t="s">
        <v>10</v>
      </c>
      <c r="C5" s="9">
        <v>45794</v>
      </c>
      <c r="D5" s="2">
        <v>923</v>
      </c>
      <c r="E5" s="2">
        <v>838</v>
      </c>
      <c r="F5" s="2">
        <v>923</v>
      </c>
      <c r="G5" s="2">
        <v>838</v>
      </c>
      <c r="H5" s="4">
        <f t="shared" si="0"/>
        <v>0.907908992416035</v>
      </c>
      <c r="I5" s="4">
        <f t="shared" si="1"/>
        <v>0.907908992416035</v>
      </c>
      <c r="J5" s="7">
        <f ca="1">F5-IFERROR(VLOOKUP($A5,'0519'!$A$1:'0519'!G$48,6,FALSE),IFERROR(VLOOKUP($C5,'0519'!$C$1:'0519'!G$48,4,FALSE),F5-D5))</f>
        <v>760</v>
      </c>
      <c r="K5" s="8">
        <f ca="1">G5-IFERROR(VLOOKUP($A5,'0519'!$A$1:'0519'!H$44,7,FALSE),IFERROR(VLOOKUP($C5,'0519'!$C$1:'0519'!H$44,5,FALSE),G5-E5))</f>
        <v>459</v>
      </c>
      <c r="L5" s="4">
        <f ca="1" t="shared" si="2"/>
        <v>0.603947368421053</v>
      </c>
    </row>
    <row r="6" s="2" customFormat="1" spans="1:12">
      <c r="A6" s="2" t="s">
        <v>120</v>
      </c>
      <c r="B6" s="2" t="s">
        <v>10</v>
      </c>
      <c r="C6" s="9">
        <v>45793</v>
      </c>
      <c r="D6" s="2">
        <v>205</v>
      </c>
      <c r="E6" s="2">
        <v>448</v>
      </c>
      <c r="F6" s="2">
        <v>205</v>
      </c>
      <c r="G6" s="2">
        <v>448</v>
      </c>
      <c r="H6" s="4">
        <f t="shared" si="0"/>
        <v>2.18536585365854</v>
      </c>
      <c r="I6" s="4">
        <f t="shared" si="1"/>
        <v>2.18536585365854</v>
      </c>
      <c r="J6" s="7">
        <f ca="1">F6-IFERROR(VLOOKUP($A6,'0519'!$A$1:'0519'!G$48,6,FALSE),IFERROR(VLOOKUP($C6,'0519'!$C$1:'0519'!G$48,4,FALSE),F6-D6))</f>
        <v>28</v>
      </c>
      <c r="K6" s="8">
        <f ca="1">G6-IFERROR(VLOOKUP($A6,'0519'!$A$1:'0519'!H$44,7,FALSE),IFERROR(VLOOKUP($C6,'0519'!$C$1:'0519'!H$44,5,FALSE),G6-E6))</f>
        <v>25</v>
      </c>
      <c r="L6" s="4">
        <f ca="1" t="shared" si="2"/>
        <v>0.892857142857143</v>
      </c>
    </row>
    <row r="7" s="2" customFormat="1" spans="1:12">
      <c r="A7" s="2" t="s">
        <v>121</v>
      </c>
      <c r="B7" s="2" t="s">
        <v>10</v>
      </c>
      <c r="C7" s="9">
        <v>45793</v>
      </c>
      <c r="D7" s="2">
        <v>129</v>
      </c>
      <c r="E7" s="2">
        <v>199</v>
      </c>
      <c r="F7" s="2">
        <v>129</v>
      </c>
      <c r="G7" s="2">
        <v>199</v>
      </c>
      <c r="H7" s="4">
        <f t="shared" si="0"/>
        <v>1.54263565891473</v>
      </c>
      <c r="I7" s="4">
        <f t="shared" si="1"/>
        <v>1.54263565891473</v>
      </c>
      <c r="J7" s="7">
        <f ca="1">F7-IFERROR(VLOOKUP($A7,'0519'!$A$1:'0519'!G$48,6,FALSE),IFERROR(VLOOKUP($C7,'0519'!$C$1:'0519'!G$48,4,FALSE),F7-D7))</f>
        <v>10</v>
      </c>
      <c r="K7" s="8">
        <f ca="1">G7-IFERROR(VLOOKUP($A7,'0519'!$A$1:'0519'!H$44,7,FALSE),IFERROR(VLOOKUP($C7,'0519'!$C$1:'0519'!H$44,5,FALSE),G7-E7))</f>
        <v>8</v>
      </c>
      <c r="L7" s="4">
        <f ca="1" t="shared" si="2"/>
        <v>0.8</v>
      </c>
    </row>
    <row r="8" s="2" customFormat="1" spans="1:12">
      <c r="A8" s="2" t="s">
        <v>115</v>
      </c>
      <c r="B8" s="2" t="s">
        <v>10</v>
      </c>
      <c r="C8" s="9">
        <v>45792</v>
      </c>
      <c r="D8" s="2">
        <v>230</v>
      </c>
      <c r="E8" s="2">
        <v>226</v>
      </c>
      <c r="F8" s="2">
        <v>230</v>
      </c>
      <c r="G8" s="2">
        <v>226</v>
      </c>
      <c r="H8" s="4">
        <f t="shared" si="0"/>
        <v>0.982608695652174</v>
      </c>
      <c r="I8" s="4">
        <f t="shared" si="1"/>
        <v>0.982608695652174</v>
      </c>
      <c r="J8" s="7">
        <f ca="1">F8-IFERROR(VLOOKUP($A8,'0519'!$A$1:'0519'!G$48,6,FALSE),IFERROR(VLOOKUP($C8,'0519'!$C$1:'0519'!G$48,4,FALSE),F8-D8))</f>
        <v>10</v>
      </c>
      <c r="K8" s="8">
        <f ca="1">G8-IFERROR(VLOOKUP($A8,'0519'!$A$1:'0519'!H$44,7,FALSE),IFERROR(VLOOKUP($C8,'0519'!$C$1:'0519'!H$44,5,FALSE),G8-E8))</f>
        <v>0</v>
      </c>
      <c r="L8" s="4">
        <f ca="1" t="shared" si="2"/>
        <v>0</v>
      </c>
    </row>
    <row r="9" s="2" customFormat="1" spans="1:13">
      <c r="A9" s="2" t="s">
        <v>116</v>
      </c>
      <c r="B9" s="2" t="s">
        <v>10</v>
      </c>
      <c r="C9" s="9">
        <v>45792</v>
      </c>
      <c r="D9" s="2">
        <v>133</v>
      </c>
      <c r="E9" s="2">
        <v>426</v>
      </c>
      <c r="F9" s="2">
        <v>133</v>
      </c>
      <c r="G9" s="2">
        <v>426</v>
      </c>
      <c r="H9" s="4">
        <f t="shared" si="0"/>
        <v>3.20300751879699</v>
      </c>
      <c r="I9" s="4">
        <f t="shared" si="1"/>
        <v>3.20300751879699</v>
      </c>
      <c r="J9" s="7">
        <f ca="1">F9-IFERROR(VLOOKUP($A9,'0519'!$A$1:'0519'!G$48,6,FALSE),IFERROR(VLOOKUP($C9,'0519'!$C$1:'0519'!G$48,4,FALSE),F9-D9))</f>
        <v>21</v>
      </c>
      <c r="K9" s="8">
        <f ca="1">G9-IFERROR(VLOOKUP($A9,'0519'!$A$1:'0519'!H$44,7,FALSE),IFERROR(VLOOKUP($C9,'0519'!$C$1:'0519'!H$44,5,FALSE),G9-E9))</f>
        <v>100</v>
      </c>
      <c r="L9" s="4">
        <f ca="1" t="shared" si="2"/>
        <v>4.76190476190476</v>
      </c>
      <c r="M9" s="2" t="s">
        <v>133</v>
      </c>
    </row>
    <row r="10" s="2" customFormat="1" spans="1:12">
      <c r="A10" s="2" t="s">
        <v>112</v>
      </c>
      <c r="B10" s="2" t="s">
        <v>10</v>
      </c>
      <c r="C10" s="9">
        <v>45791</v>
      </c>
      <c r="D10" s="2">
        <v>290</v>
      </c>
      <c r="E10" s="2">
        <v>177</v>
      </c>
      <c r="F10" s="2">
        <v>290</v>
      </c>
      <c r="G10" s="2">
        <v>177</v>
      </c>
      <c r="H10" s="4">
        <f t="shared" si="0"/>
        <v>0.610344827586207</v>
      </c>
      <c r="I10" s="4">
        <f t="shared" si="1"/>
        <v>0.610344827586207</v>
      </c>
      <c r="J10" s="7">
        <f ca="1">F10-IFERROR(VLOOKUP($A10,'0519'!$A$1:'0519'!G$48,6,FALSE),IFERROR(VLOOKUP($C10,'0519'!$C$1:'0519'!G$48,4,FALSE),F10-D10))</f>
        <v>4</v>
      </c>
      <c r="K10" s="8">
        <f ca="1">G10-IFERROR(VLOOKUP($A10,'0519'!$A$1:'0519'!H$44,7,FALSE),IFERROR(VLOOKUP($C10,'0519'!$C$1:'0519'!H$44,5,FALSE),G10-E10))</f>
        <v>0</v>
      </c>
      <c r="L10" s="4">
        <f ca="1" t="shared" si="2"/>
        <v>0</v>
      </c>
    </row>
    <row r="11" s="2" customFormat="1" spans="1:12">
      <c r="A11" s="2" t="s">
        <v>113</v>
      </c>
      <c r="B11" s="2" t="s">
        <v>10</v>
      </c>
      <c r="C11" s="9">
        <v>45791</v>
      </c>
      <c r="D11" s="2">
        <v>270</v>
      </c>
      <c r="E11" s="2">
        <v>264</v>
      </c>
      <c r="F11" s="2">
        <v>270</v>
      </c>
      <c r="G11" s="2">
        <v>264</v>
      </c>
      <c r="H11" s="4">
        <f t="shared" si="0"/>
        <v>0.977777777777778</v>
      </c>
      <c r="I11" s="4">
        <f t="shared" si="1"/>
        <v>0.977777777777778</v>
      </c>
      <c r="J11" s="7">
        <f ca="1">F11-IFERROR(VLOOKUP($A11,'0519'!$A$1:'0519'!G$48,6,FALSE),IFERROR(VLOOKUP($C11,'0519'!$C$1:'0519'!G$48,4,FALSE),F11-D11))</f>
        <v>10</v>
      </c>
      <c r="K11" s="8">
        <f ca="1">G11-IFERROR(VLOOKUP($A11,'0519'!$A$1:'0519'!H$44,7,FALSE),IFERROR(VLOOKUP($C11,'0519'!$C$1:'0519'!H$44,5,FALSE),G11-E11))</f>
        <v>0</v>
      </c>
      <c r="L11" s="4">
        <f ca="1" t="shared" si="2"/>
        <v>0</v>
      </c>
    </row>
    <row r="12" s="2" customFormat="1" spans="1:12">
      <c r="A12" s="2" t="s">
        <v>107</v>
      </c>
      <c r="B12" s="2" t="s">
        <v>10</v>
      </c>
      <c r="C12" s="9">
        <v>45790</v>
      </c>
      <c r="D12" s="2">
        <v>328</v>
      </c>
      <c r="E12" s="2">
        <v>306</v>
      </c>
      <c r="F12" s="2">
        <v>328</v>
      </c>
      <c r="G12" s="2">
        <v>306</v>
      </c>
      <c r="H12" s="4">
        <f t="shared" si="0"/>
        <v>0.932926829268293</v>
      </c>
      <c r="I12" s="4">
        <f t="shared" si="1"/>
        <v>0.932926829268293</v>
      </c>
      <c r="J12" s="7">
        <f ca="1">F12-IFERROR(VLOOKUP($A12,'0519'!$A$1:'0519'!G$48,6,FALSE),IFERROR(VLOOKUP($C12,'0519'!$C$1:'0519'!G$48,4,FALSE),F12-D12))</f>
        <v>7</v>
      </c>
      <c r="K12" s="8">
        <f ca="1">G12-IFERROR(VLOOKUP($A12,'0519'!$A$1:'0519'!H$44,7,FALSE),IFERROR(VLOOKUP($C12,'0519'!$C$1:'0519'!H$44,5,FALSE),G12-E12))</f>
        <v>0</v>
      </c>
      <c r="L12" s="4">
        <f ca="1" t="shared" si="2"/>
        <v>0</v>
      </c>
    </row>
    <row r="13" s="2" customFormat="1" spans="1:13">
      <c r="A13" s="2" t="s">
        <v>108</v>
      </c>
      <c r="B13" s="2" t="s">
        <v>10</v>
      </c>
      <c r="C13" s="9">
        <v>45790</v>
      </c>
      <c r="D13" s="2">
        <v>5490</v>
      </c>
      <c r="E13" s="2">
        <v>1217</v>
      </c>
      <c r="F13" s="2">
        <v>5490</v>
      </c>
      <c r="G13" s="2">
        <v>1217</v>
      </c>
      <c r="H13" s="4">
        <f t="shared" si="0"/>
        <v>0.221675774134791</v>
      </c>
      <c r="I13" s="4">
        <f t="shared" si="1"/>
        <v>0.221675774134791</v>
      </c>
      <c r="J13" s="7">
        <f ca="1">F13-IFERROR(VLOOKUP($A13,'0519'!$A$1:'0519'!G$48,6,FALSE),IFERROR(VLOOKUP($C13,'0519'!$C$1:'0519'!G$48,4,FALSE),F13-D13))</f>
        <v>8</v>
      </c>
      <c r="K13" s="8">
        <f ca="1">G13-IFERROR(VLOOKUP($A13,'0519'!$A$1:'0519'!H$44,7,FALSE),IFERROR(VLOOKUP($C13,'0519'!$C$1:'0519'!H$44,5,FALSE),G13-E13))</f>
        <v>12</v>
      </c>
      <c r="L13" s="4">
        <f ca="1" t="shared" si="2"/>
        <v>1.5</v>
      </c>
      <c r="M13" s="2" t="s">
        <v>109</v>
      </c>
    </row>
    <row r="14" s="2" customFormat="1" spans="1:13">
      <c r="A14" s="2" t="s">
        <v>105</v>
      </c>
      <c r="B14" s="2" t="s">
        <v>10</v>
      </c>
      <c r="C14" s="9">
        <v>45789</v>
      </c>
      <c r="D14" s="2">
        <v>103</v>
      </c>
      <c r="E14" s="2">
        <v>257</v>
      </c>
      <c r="F14" s="2">
        <v>188</v>
      </c>
      <c r="G14" s="2">
        <v>564</v>
      </c>
      <c r="H14" s="4">
        <f t="shared" si="0"/>
        <v>2.49514563106796</v>
      </c>
      <c r="I14" s="4">
        <f t="shared" si="1"/>
        <v>3</v>
      </c>
      <c r="J14" s="7">
        <f ca="1">F14-IFERROR(VLOOKUP($A14,'0519'!$A$1:'0519'!G$48,6,FALSE),IFERROR(VLOOKUP($C14,'0519'!$C$1:'0519'!G$48,4,FALSE),F14-D14))</f>
        <v>3</v>
      </c>
      <c r="K14" s="8">
        <f ca="1">G14-IFERROR(VLOOKUP($A14,'0519'!$A$1:'0519'!H$44,7,FALSE),IFERROR(VLOOKUP($C14,'0519'!$C$1:'0519'!H$44,5,FALSE),G14-E14))</f>
        <v>0</v>
      </c>
      <c r="L14" s="4">
        <f ca="1" t="shared" si="2"/>
        <v>0</v>
      </c>
      <c r="M14" s="2" t="s">
        <v>131</v>
      </c>
    </row>
    <row r="15" s="2" customFormat="1" spans="1:12">
      <c r="A15" s="2" t="s">
        <v>103</v>
      </c>
      <c r="B15" s="2" t="s">
        <v>10</v>
      </c>
      <c r="C15" s="9">
        <v>45788</v>
      </c>
      <c r="D15" s="2">
        <v>186</v>
      </c>
      <c r="E15" s="2">
        <v>63</v>
      </c>
      <c r="F15" s="2">
        <v>317</v>
      </c>
      <c r="G15" s="2">
        <v>674</v>
      </c>
      <c r="H15" s="4">
        <f t="shared" si="0"/>
        <v>0.338709677419355</v>
      </c>
      <c r="I15" s="4">
        <f t="shared" si="1"/>
        <v>2.12618296529968</v>
      </c>
      <c r="J15" s="7">
        <f ca="1">F15-IFERROR(VLOOKUP($A15,'0519'!$A$1:'0519'!G$48,6,FALSE),IFERROR(VLOOKUP($C15,'0519'!$C$1:'0519'!G$48,4,FALSE),F15-D15))</f>
        <v>8</v>
      </c>
      <c r="K15" s="8">
        <f ca="1">G15-IFERROR(VLOOKUP($A15,'0519'!$A$1:'0519'!H$44,7,FALSE),IFERROR(VLOOKUP($C15,'0519'!$C$1:'0519'!H$44,5,FALSE),G15-E15))</f>
        <v>0</v>
      </c>
      <c r="L15" s="4">
        <f ca="1" t="shared" si="2"/>
        <v>0</v>
      </c>
    </row>
    <row r="16" s="2" customFormat="1" spans="1:12">
      <c r="A16" s="2" t="s">
        <v>101</v>
      </c>
      <c r="B16" s="2" t="s">
        <v>10</v>
      </c>
      <c r="C16" s="9">
        <v>45787</v>
      </c>
      <c r="D16" s="2">
        <v>52</v>
      </c>
      <c r="E16" s="2">
        <v>18</v>
      </c>
      <c r="F16" s="2">
        <v>196</v>
      </c>
      <c r="G16" s="2">
        <v>759</v>
      </c>
      <c r="H16" s="4">
        <f t="shared" si="0"/>
        <v>0.346153846153846</v>
      </c>
      <c r="I16" s="4">
        <f t="shared" si="1"/>
        <v>3.87244897959184</v>
      </c>
      <c r="J16" s="7">
        <f ca="1">F16-IFERROR(VLOOKUP($A16,'0519'!$A$1:'0519'!G$48,6,FALSE),IFERROR(VLOOKUP($C16,'0519'!$C$1:'0519'!G$48,4,FALSE),F16-D16))</f>
        <v>4</v>
      </c>
      <c r="K16" s="8">
        <f ca="1">G16-IFERROR(VLOOKUP($A16,'0519'!$A$1:'0519'!H$44,7,FALSE),IFERROR(VLOOKUP($C16,'0519'!$C$1:'0519'!H$44,5,FALSE),G16-E16))</f>
        <v>0</v>
      </c>
      <c r="L16" s="4">
        <f ca="1" t="shared" si="2"/>
        <v>0</v>
      </c>
    </row>
    <row r="17" s="2" customFormat="1" spans="1:13">
      <c r="A17" s="2" t="s">
        <v>93</v>
      </c>
      <c r="B17" s="2" t="s">
        <v>10</v>
      </c>
      <c r="C17" s="9">
        <v>45786</v>
      </c>
      <c r="D17" s="2">
        <v>52</v>
      </c>
      <c r="E17" s="2">
        <v>6</v>
      </c>
      <c r="F17" s="2">
        <v>322</v>
      </c>
      <c r="G17" s="2">
        <v>287</v>
      </c>
      <c r="H17" s="4">
        <f t="shared" si="0"/>
        <v>0.115384615384615</v>
      </c>
      <c r="I17" s="4">
        <f t="shared" si="1"/>
        <v>0.891304347826087</v>
      </c>
      <c r="J17" s="7">
        <f ca="1">F17-IFERROR(VLOOKUP($A17,'0519'!$A$1:'0519'!G$48,6,FALSE),IFERROR(VLOOKUP($C17,'0519'!$C$1:'0519'!G$48,4,FALSE),F17-D17))</f>
        <v>3</v>
      </c>
      <c r="K17" s="8">
        <f ca="1">G17-IFERROR(VLOOKUP($A17,'0519'!$A$1:'0519'!H$44,7,FALSE),IFERROR(VLOOKUP($C17,'0519'!$C$1:'0519'!H$44,5,FALSE),G17-E17))</f>
        <v>0</v>
      </c>
      <c r="L17" s="4">
        <f ca="1" t="shared" si="2"/>
        <v>0</v>
      </c>
      <c r="M17" s="2" t="s">
        <v>94</v>
      </c>
    </row>
    <row r="18" s="2" customFormat="1" spans="1:12">
      <c r="A18" s="2" t="s">
        <v>95</v>
      </c>
      <c r="B18" s="2" t="s">
        <v>10</v>
      </c>
      <c r="C18" s="9">
        <v>45786</v>
      </c>
      <c r="D18" s="2">
        <v>34</v>
      </c>
      <c r="E18" s="2">
        <v>6</v>
      </c>
      <c r="F18" s="2">
        <v>377</v>
      </c>
      <c r="G18" s="2">
        <v>363</v>
      </c>
      <c r="H18" s="4">
        <f t="shared" si="0"/>
        <v>0.176470588235294</v>
      </c>
      <c r="I18" s="4">
        <f t="shared" si="1"/>
        <v>0.962864721485411</v>
      </c>
      <c r="J18" s="7">
        <f ca="1">F18-IFERROR(VLOOKUP($A18,'0519'!$A$1:'0519'!G$48,6,FALSE),IFERROR(VLOOKUP($C18,'0519'!$C$1:'0519'!G$48,4,FALSE),F18-D18))</f>
        <v>3</v>
      </c>
      <c r="K18" s="8">
        <f ca="1">G18-IFERROR(VLOOKUP($A18,'0519'!$A$1:'0519'!H$44,7,FALSE),IFERROR(VLOOKUP($C18,'0519'!$C$1:'0519'!H$44,5,FALSE),G18-E18))</f>
        <v>0</v>
      </c>
      <c r="L18" s="4">
        <f ca="1" t="shared" si="2"/>
        <v>0</v>
      </c>
    </row>
    <row r="19" s="2" customFormat="1" spans="1:12">
      <c r="A19" s="2" t="s">
        <v>77</v>
      </c>
      <c r="B19" s="2" t="s">
        <v>10</v>
      </c>
      <c r="C19" s="9">
        <v>45782</v>
      </c>
      <c r="D19" s="2">
        <v>22</v>
      </c>
      <c r="E19" s="2">
        <v>4</v>
      </c>
      <c r="F19" s="2">
        <v>371</v>
      </c>
      <c r="G19" s="2">
        <v>220</v>
      </c>
      <c r="H19" s="4">
        <f t="shared" si="0"/>
        <v>0.181818181818182</v>
      </c>
      <c r="I19" s="4">
        <f t="shared" si="1"/>
        <v>0.592991913746631</v>
      </c>
      <c r="J19" s="7">
        <f ca="1">F19-IFERROR(VLOOKUP($A19,'0519'!$A$1:'0519'!G$48,6,FALSE),IFERROR(VLOOKUP($C19,'0519'!$C$1:'0519'!G$48,4,FALSE),F19-D19))</f>
        <v>3</v>
      </c>
      <c r="K19" s="8">
        <f ca="1">G19-IFERROR(VLOOKUP($A19,'0519'!$A$1:'0519'!H$44,7,FALSE),IFERROR(VLOOKUP($C19,'0519'!$C$1:'0519'!H$44,5,FALSE),G19-E19))</f>
        <v>0</v>
      </c>
      <c r="L19" s="4">
        <f ca="1" t="shared" si="2"/>
        <v>0</v>
      </c>
    </row>
    <row r="20" s="2" customFormat="1" spans="1:12">
      <c r="A20" s="2" t="s">
        <v>72</v>
      </c>
      <c r="B20" s="2" t="s">
        <v>10</v>
      </c>
      <c r="C20" s="9">
        <v>45781</v>
      </c>
      <c r="D20" s="2">
        <v>19</v>
      </c>
      <c r="E20" s="2">
        <v>6</v>
      </c>
      <c r="F20" s="2">
        <v>329</v>
      </c>
      <c r="G20" s="2">
        <v>665</v>
      </c>
      <c r="H20" s="4">
        <f t="shared" si="0"/>
        <v>0.315789473684211</v>
      </c>
      <c r="I20" s="4">
        <f t="shared" si="1"/>
        <v>2.02127659574468</v>
      </c>
      <c r="J20" s="7">
        <f ca="1">F20-IFERROR(VLOOKUP($A20,'0519'!$A$1:'0519'!G$48,6,FALSE),IFERROR(VLOOKUP($C20,'0519'!$C$1:'0519'!G$48,4,FALSE),F20-D20))</f>
        <v>0</v>
      </c>
      <c r="K20" s="8">
        <f ca="1">G20-IFERROR(VLOOKUP($A20,'0519'!$A$1:'0519'!H$44,7,FALSE),IFERROR(VLOOKUP($C20,'0519'!$C$1:'0519'!H$44,5,FALSE),G20-E20))</f>
        <v>0</v>
      </c>
      <c r="L20" s="4">
        <f ca="1" t="shared" si="2"/>
        <v>0</v>
      </c>
    </row>
    <row r="21" s="2" customFormat="1" spans="1:12">
      <c r="A21" s="2" t="s">
        <v>134</v>
      </c>
      <c r="B21" s="2" t="s">
        <v>10</v>
      </c>
      <c r="C21" s="9">
        <v>45780</v>
      </c>
      <c r="D21" s="2">
        <v>266</v>
      </c>
      <c r="E21" s="2">
        <v>49</v>
      </c>
      <c r="F21" s="2">
        <v>1496</v>
      </c>
      <c r="G21" s="2">
        <v>586</v>
      </c>
      <c r="H21" s="4">
        <f t="shared" si="0"/>
        <v>0.184210526315789</v>
      </c>
      <c r="I21" s="4">
        <f t="shared" si="1"/>
        <v>0.391711229946524</v>
      </c>
      <c r="J21" s="7">
        <f ca="1">F21-IFERROR(VLOOKUP($A21,'0519'!$A$1:'0519'!G$48,6,FALSE),IFERROR(VLOOKUP($C21,'0519'!$C$1:'0519'!G$48,4,FALSE),F21-D21))</f>
        <v>154</v>
      </c>
      <c r="K21" s="8">
        <f ca="1">G21-IFERROR(VLOOKUP($A21,'0519'!$A$1:'0519'!H$44,7,FALSE),IFERROR(VLOOKUP($C21,'0519'!$C$1:'0519'!H$44,5,FALSE),G21-E21))</f>
        <v>25</v>
      </c>
      <c r="L21" s="4">
        <f ca="1" t="shared" si="2"/>
        <v>0.162337662337662</v>
      </c>
    </row>
    <row r="22" s="2" customFormat="1" spans="1:13">
      <c r="A22" s="2" t="s">
        <v>9</v>
      </c>
      <c r="B22" s="2" t="s">
        <v>10</v>
      </c>
      <c r="C22" s="9">
        <v>45777</v>
      </c>
      <c r="D22" s="2">
        <v>44</v>
      </c>
      <c r="E22" s="2">
        <v>28</v>
      </c>
      <c r="F22" s="2">
        <v>288</v>
      </c>
      <c r="G22" s="2">
        <v>332</v>
      </c>
      <c r="H22" s="4">
        <f t="shared" si="0"/>
        <v>0.636363636363636</v>
      </c>
      <c r="I22" s="4">
        <f t="shared" si="1"/>
        <v>1.15277777777778</v>
      </c>
      <c r="J22" s="7">
        <f ca="1">F22-IFERROR(VLOOKUP($A22,'0519'!$A$1:'0519'!G$48,6,FALSE),IFERROR(VLOOKUP($C22,'0519'!$C$1:'0519'!G$48,4,FALSE),F22-D22))</f>
        <v>1</v>
      </c>
      <c r="K22" s="8">
        <f ca="1">G22-IFERROR(VLOOKUP($A22,'0519'!$A$1:'0519'!H$44,7,FALSE),IFERROR(VLOOKUP($C22,'0519'!$C$1:'0519'!H$44,5,FALSE),G22-E22))</f>
        <v>0</v>
      </c>
      <c r="L22" s="4">
        <f ca="1" t="shared" si="2"/>
        <v>0</v>
      </c>
      <c r="M22" s="2" t="s">
        <v>117</v>
      </c>
    </row>
    <row r="23" s="2" customFormat="1" spans="1:12">
      <c r="A23" s="2" t="s">
        <v>27</v>
      </c>
      <c r="B23" s="2" t="s">
        <v>10</v>
      </c>
      <c r="C23" s="9">
        <v>45769</v>
      </c>
      <c r="D23" s="2">
        <v>51</v>
      </c>
      <c r="E23" s="2">
        <v>21</v>
      </c>
      <c r="F23" s="2">
        <v>658</v>
      </c>
      <c r="G23" s="2">
        <v>369</v>
      </c>
      <c r="H23" s="4">
        <f t="shared" si="0"/>
        <v>0.411764705882353</v>
      </c>
      <c r="I23" s="4">
        <f t="shared" si="1"/>
        <v>0.560790273556231</v>
      </c>
      <c r="J23" s="7">
        <f ca="1">F23-IFERROR(VLOOKUP($A23,'0519'!$A$1:'0519'!G$48,6,FALSE),IFERROR(VLOOKUP($C23,'0519'!$C$1:'0519'!G$48,4,FALSE),F23-D23))</f>
        <v>11</v>
      </c>
      <c r="K23" s="8">
        <f ca="1">G23-IFERROR(VLOOKUP($A23,'0519'!$A$1:'0519'!H$44,7,FALSE),IFERROR(VLOOKUP($C23,'0519'!$C$1:'0519'!H$44,5,FALSE),G23-E23))</f>
        <v>7</v>
      </c>
      <c r="L23" s="4">
        <f ca="1" t="shared" si="2"/>
        <v>0.636363636363636</v>
      </c>
    </row>
    <row r="24" s="2" customFormat="1" spans="1:13">
      <c r="A24" s="2" t="s">
        <v>31</v>
      </c>
      <c r="B24" s="2" t="s">
        <v>10</v>
      </c>
      <c r="C24" s="9">
        <v>45767</v>
      </c>
      <c r="D24" s="2">
        <v>18</v>
      </c>
      <c r="E24" s="2">
        <v>7</v>
      </c>
      <c r="F24" s="2">
        <v>1187</v>
      </c>
      <c r="G24" s="2">
        <v>297</v>
      </c>
      <c r="H24" s="4">
        <f t="shared" si="0"/>
        <v>0.388888888888889</v>
      </c>
      <c r="I24" s="4">
        <f t="shared" si="1"/>
        <v>0.250210614995788</v>
      </c>
      <c r="J24" s="7">
        <f ca="1">F24-IFERROR(VLOOKUP($A24,'0519'!$A$1:'0519'!G$48,6,FALSE),IFERROR(VLOOKUP($C24,'0519'!$C$1:'0519'!G$48,4,FALSE),F24-D24))</f>
        <v>18</v>
      </c>
      <c r="K24" s="8">
        <f ca="1">G24-IFERROR(VLOOKUP($A24,'0519'!$A$1:'0519'!H$44,7,FALSE),IFERROR(VLOOKUP($C24,'0519'!$C$1:'0519'!H$44,5,FALSE),G24-E24))</f>
        <v>7</v>
      </c>
      <c r="L24" s="4">
        <f ca="1" t="shared" si="2"/>
        <v>0.388888888888889</v>
      </c>
      <c r="M24" s="2" t="s">
        <v>144</v>
      </c>
    </row>
    <row r="25" s="2" customFormat="1" spans="1:13">
      <c r="A25" s="2" t="s">
        <v>118</v>
      </c>
      <c r="B25" s="2" t="s">
        <v>10</v>
      </c>
      <c r="C25" s="9">
        <v>45759</v>
      </c>
      <c r="D25" s="2">
        <v>8</v>
      </c>
      <c r="E25" s="2">
        <v>5</v>
      </c>
      <c r="F25" s="2">
        <v>525</v>
      </c>
      <c r="G25" s="2">
        <v>647</v>
      </c>
      <c r="H25" s="4">
        <f t="shared" si="0"/>
        <v>0.625</v>
      </c>
      <c r="I25" s="4">
        <f t="shared" si="1"/>
        <v>1.23238095238095</v>
      </c>
      <c r="J25" s="7">
        <f ca="1">F25-IFERROR(VLOOKUP($A25,'0519'!$A$1:'0519'!G$48,6,FALSE),IFERROR(VLOOKUP($C25,'0519'!$C$1:'0519'!G$48,4,FALSE),F25-D25))</f>
        <v>0</v>
      </c>
      <c r="K25" s="8">
        <f ca="1">G25-IFERROR(VLOOKUP($A25,'0519'!$A$1:'0519'!H$44,7,FALSE),IFERROR(VLOOKUP($C25,'0519'!$C$1:'0519'!H$44,5,FALSE),G25-E25))</f>
        <v>0</v>
      </c>
      <c r="L25" s="4">
        <f ca="1" t="shared" si="2"/>
        <v>0</v>
      </c>
      <c r="M25" s="2" t="s">
        <v>119</v>
      </c>
    </row>
    <row r="26" s="2" customFormat="1" spans="1:12">
      <c r="A26" s="2" t="s">
        <v>114</v>
      </c>
      <c r="B26" s="2" t="s">
        <v>10</v>
      </c>
      <c r="C26" s="9">
        <v>45756</v>
      </c>
      <c r="D26" s="2">
        <v>24</v>
      </c>
      <c r="E26" s="2">
        <v>5</v>
      </c>
      <c r="F26" s="2">
        <v>485</v>
      </c>
      <c r="G26" s="2">
        <v>619</v>
      </c>
      <c r="H26" s="4">
        <f t="shared" si="0"/>
        <v>0.208333333333333</v>
      </c>
      <c r="I26" s="4">
        <f t="shared" si="1"/>
        <v>1.27628865979381</v>
      </c>
      <c r="J26" s="7">
        <f ca="1">F26-IFERROR(VLOOKUP($A26,'0519'!$A$1:'0519'!G$48,6,FALSE),IFERROR(VLOOKUP($C26,'0519'!$C$1:'0519'!G$48,4,FALSE),F26-D26))</f>
        <v>0</v>
      </c>
      <c r="K26" s="8">
        <f ca="1">G26-IFERROR(VLOOKUP($A26,'0519'!$A$1:'0519'!H$44,7,FALSE),IFERROR(VLOOKUP($C26,'0519'!$C$1:'0519'!H$44,5,FALSE),G26-E26))</f>
        <v>0</v>
      </c>
      <c r="L26" s="4">
        <f ca="1" t="shared" si="2"/>
        <v>0</v>
      </c>
    </row>
    <row r="27" s="2" customFormat="1" spans="1:13">
      <c r="A27" s="2" t="s">
        <v>73</v>
      </c>
      <c r="B27" s="2" t="s">
        <v>10</v>
      </c>
      <c r="C27" s="9">
        <v>45755</v>
      </c>
      <c r="D27" s="2">
        <v>21</v>
      </c>
      <c r="E27" s="2">
        <v>5</v>
      </c>
      <c r="F27" s="2">
        <v>481</v>
      </c>
      <c r="G27" s="2">
        <v>526</v>
      </c>
      <c r="H27" s="4">
        <f t="shared" si="0"/>
        <v>0.238095238095238</v>
      </c>
      <c r="I27" s="4">
        <f t="shared" si="1"/>
        <v>1.09355509355509</v>
      </c>
      <c r="J27" s="7">
        <f ca="1">F27-IFERROR(VLOOKUP($A27,'0519'!$A$1:'0519'!G$48,6,FALSE),IFERROR(VLOOKUP($C27,'0519'!$C$1:'0519'!G$48,4,FALSE),F27-D27))</f>
        <v>21</v>
      </c>
      <c r="K27" s="8">
        <f ca="1">G27-IFERROR(VLOOKUP($A27,'0519'!$A$1:'0519'!H$44,7,FALSE),IFERROR(VLOOKUP($C27,'0519'!$C$1:'0519'!H$44,5,FALSE),G27-E27))</f>
        <v>5</v>
      </c>
      <c r="L27" s="4">
        <f ca="1" t="shared" si="2"/>
        <v>0.238095238095238</v>
      </c>
      <c r="M27" s="2" t="s">
        <v>145</v>
      </c>
    </row>
    <row r="28" s="2" customFormat="1" spans="1:13">
      <c r="A28" s="2" t="s">
        <v>52</v>
      </c>
      <c r="B28" s="2" t="s">
        <v>10</v>
      </c>
      <c r="C28" s="9">
        <v>45743</v>
      </c>
      <c r="D28" s="2">
        <v>136</v>
      </c>
      <c r="E28" s="2">
        <v>45</v>
      </c>
      <c r="F28" s="2">
        <v>5206</v>
      </c>
      <c r="G28" s="2">
        <v>2091</v>
      </c>
      <c r="H28" s="4">
        <f t="shared" si="0"/>
        <v>0.330882352941176</v>
      </c>
      <c r="I28" s="4">
        <f t="shared" si="1"/>
        <v>0.401651940069151</v>
      </c>
      <c r="J28" s="7">
        <f ca="1">F28-IFERROR(VLOOKUP($A28,'0519'!$A$1:'0519'!G$48,6,FALSE),IFERROR(VLOOKUP($C28,'0519'!$C$1:'0519'!G$48,4,FALSE),F28-D28))</f>
        <v>17</v>
      </c>
      <c r="K28" s="8">
        <f ca="1">G28-IFERROR(VLOOKUP($A28,'0519'!$A$1:'0519'!H$44,7,FALSE),IFERROR(VLOOKUP($C28,'0519'!$C$1:'0519'!H$44,5,FALSE),G28-E28))</f>
        <v>0</v>
      </c>
      <c r="L28" s="4">
        <f ca="1" t="shared" si="2"/>
        <v>0</v>
      </c>
      <c r="M28" s="2" t="s">
        <v>53</v>
      </c>
    </row>
    <row r="29" s="2" customFormat="1" spans="1:13">
      <c r="A29" s="2" t="s">
        <v>54</v>
      </c>
      <c r="B29" s="2" t="s">
        <v>10</v>
      </c>
      <c r="C29" s="9">
        <v>45741</v>
      </c>
      <c r="D29" s="2">
        <v>47</v>
      </c>
      <c r="E29" s="2">
        <v>5</v>
      </c>
      <c r="F29" s="2">
        <v>1378</v>
      </c>
      <c r="G29" s="2">
        <v>697</v>
      </c>
      <c r="H29" s="4">
        <f t="shared" si="0"/>
        <v>0.106382978723404</v>
      </c>
      <c r="I29" s="4">
        <f t="shared" si="1"/>
        <v>0.505805515239477</v>
      </c>
      <c r="J29" s="7">
        <f ca="1">F29-IFERROR(VLOOKUP($A29,'0519'!$A$1:'0519'!G$48,6,FALSE),IFERROR(VLOOKUP($C29,'0519'!$C$1:'0519'!G$48,4,FALSE),F29-D29))</f>
        <v>5</v>
      </c>
      <c r="K29" s="8">
        <f ca="1">G29-IFERROR(VLOOKUP($A29,'0519'!$A$1:'0519'!H$44,7,FALSE),IFERROR(VLOOKUP($C29,'0519'!$C$1:'0519'!H$44,5,FALSE),G29-E29))</f>
        <v>0</v>
      </c>
      <c r="L29" s="4">
        <f ca="1" t="shared" si="2"/>
        <v>0</v>
      </c>
      <c r="M29" s="2" t="s">
        <v>135</v>
      </c>
    </row>
    <row r="30" s="2" customFormat="1" spans="1:14">
      <c r="A30" s="2" t="s">
        <v>98</v>
      </c>
      <c r="B30" s="2" t="s">
        <v>10</v>
      </c>
      <c r="C30" s="9">
        <v>45731</v>
      </c>
      <c r="D30" s="2">
        <v>52</v>
      </c>
      <c r="E30" s="2">
        <v>82</v>
      </c>
      <c r="F30" s="2">
        <v>337</v>
      </c>
      <c r="G30" s="2">
        <v>753</v>
      </c>
      <c r="H30" s="4">
        <f t="shared" si="0"/>
        <v>1.57692307692308</v>
      </c>
      <c r="I30" s="4">
        <f t="shared" si="1"/>
        <v>2.23442136498516</v>
      </c>
      <c r="J30" s="7">
        <f ca="1">F30-IFERROR(VLOOKUP($A30,'0519'!$A$1:'0519'!G$48,6,FALSE),IFERROR(VLOOKUP($C30,'0519'!$C$1:'0519'!G$48,4,FALSE),F30-D30))</f>
        <v>3</v>
      </c>
      <c r="K30" s="8">
        <f ca="1">G30-IFERROR(VLOOKUP($A30,'0519'!$A$1:'0519'!H$44,7,FALSE),IFERROR(VLOOKUP($C30,'0519'!$C$1:'0519'!H$44,5,FALSE),G30-E30))</f>
        <v>0</v>
      </c>
      <c r="L30" s="4">
        <f ca="1" t="shared" si="2"/>
        <v>0</v>
      </c>
      <c r="M30" s="2" t="s">
        <v>99</v>
      </c>
      <c r="N30" s="2" t="s">
        <v>100</v>
      </c>
    </row>
    <row r="31" s="2" customFormat="1" spans="1:13">
      <c r="A31" s="2" t="s">
        <v>58</v>
      </c>
      <c r="B31" s="2" t="s">
        <v>10</v>
      </c>
      <c r="C31" s="9">
        <v>45719</v>
      </c>
      <c r="D31" s="2">
        <v>11</v>
      </c>
      <c r="E31" s="2">
        <v>5</v>
      </c>
      <c r="F31" s="2">
        <v>395</v>
      </c>
      <c r="G31" s="2">
        <v>662</v>
      </c>
      <c r="H31" s="4">
        <f t="shared" si="0"/>
        <v>0.454545454545455</v>
      </c>
      <c r="I31" s="4">
        <f t="shared" si="1"/>
        <v>1.67594936708861</v>
      </c>
      <c r="J31" s="7">
        <f ca="1">F31-IFERROR(VLOOKUP($A31,'0519'!$A$1:'0519'!G$48,6,FALSE),IFERROR(VLOOKUP($C31,'0519'!$C$1:'0519'!G$48,4,FALSE),F31-D31))</f>
        <v>0</v>
      </c>
      <c r="K31" s="8">
        <f ca="1">G31-IFERROR(VLOOKUP($A31,'0519'!$A$1:'0519'!H$44,7,FALSE),IFERROR(VLOOKUP($C31,'0519'!$C$1:'0519'!H$44,5,FALSE),G31-E31))</f>
        <v>0</v>
      </c>
      <c r="L31" s="4">
        <f ca="1" t="shared" si="2"/>
        <v>0</v>
      </c>
      <c r="M31" s="2" t="s">
        <v>122</v>
      </c>
    </row>
    <row r="32" s="2" customFormat="1" spans="1:13">
      <c r="A32" s="2" t="s">
        <v>110</v>
      </c>
      <c r="B32" s="2" t="s">
        <v>10</v>
      </c>
      <c r="C32" s="9">
        <v>45686</v>
      </c>
      <c r="D32" s="2">
        <v>9</v>
      </c>
      <c r="E32" s="2">
        <v>3</v>
      </c>
      <c r="F32" s="2">
        <v>451</v>
      </c>
      <c r="G32" s="2">
        <v>347</v>
      </c>
      <c r="H32" s="4">
        <f t="shared" si="0"/>
        <v>0.333333333333333</v>
      </c>
      <c r="I32" s="4">
        <f t="shared" si="1"/>
        <v>0.76940133037694</v>
      </c>
      <c r="J32" s="7">
        <f ca="1">F32-IFERROR(VLOOKUP($A32,'0519'!$A$1:'0519'!G$48,6,FALSE),IFERROR(VLOOKUP($C32,'0519'!$C$1:'0519'!G$48,4,FALSE),F32-D32))</f>
        <v>1</v>
      </c>
      <c r="K32" s="8">
        <f ca="1">G32-IFERROR(VLOOKUP($A32,'0519'!$A$1:'0519'!H$44,7,FALSE),IFERROR(VLOOKUP($C32,'0519'!$C$1:'0519'!H$44,5,FALSE),G32-E32))</f>
        <v>0</v>
      </c>
      <c r="L32" s="4">
        <f ca="1" t="shared" si="2"/>
        <v>0</v>
      </c>
      <c r="M32" s="13" t="s">
        <v>111</v>
      </c>
    </row>
    <row r="33" s="2" customFormat="1" spans="1:13">
      <c r="A33" s="2" t="s">
        <v>123</v>
      </c>
      <c r="B33" s="2" t="s">
        <v>10</v>
      </c>
      <c r="C33" s="9">
        <v>45685</v>
      </c>
      <c r="D33" s="2">
        <v>42</v>
      </c>
      <c r="E33" s="2">
        <v>6</v>
      </c>
      <c r="F33" s="2">
        <v>158</v>
      </c>
      <c r="G33" s="2">
        <v>524</v>
      </c>
      <c r="H33" s="4">
        <f t="shared" si="0"/>
        <v>0.142857142857143</v>
      </c>
      <c r="I33" s="4">
        <f t="shared" si="1"/>
        <v>3.31645569620253</v>
      </c>
      <c r="J33" s="7">
        <f ca="1">F33-IFERROR(VLOOKUP($A33,'0519'!$A$1:'0519'!G$48,6,FALSE),IFERROR(VLOOKUP($C33,'0519'!$C$1:'0519'!G$48,4,FALSE),F33-D33))</f>
        <v>7</v>
      </c>
      <c r="K33" s="8">
        <f ca="1">G33-IFERROR(VLOOKUP($A33,'0519'!$A$1:'0519'!H$44,7,FALSE),IFERROR(VLOOKUP($C33,'0519'!$C$1:'0519'!H$44,5,FALSE),G33-E33))</f>
        <v>0</v>
      </c>
      <c r="L33" s="4">
        <f ca="1" t="shared" si="2"/>
        <v>0</v>
      </c>
      <c r="M33" s="2" t="s">
        <v>124</v>
      </c>
    </row>
    <row r="34" s="2" customFormat="1" spans="1:13">
      <c r="A34" s="2" t="s">
        <v>125</v>
      </c>
      <c r="B34" s="2" t="s">
        <v>10</v>
      </c>
      <c r="C34" s="9">
        <v>45626</v>
      </c>
      <c r="D34" s="2">
        <v>18</v>
      </c>
      <c r="E34" s="2">
        <v>6</v>
      </c>
      <c r="F34" s="2">
        <v>216</v>
      </c>
      <c r="G34" s="2">
        <v>519</v>
      </c>
      <c r="H34" s="4">
        <f t="shared" si="0"/>
        <v>0.333333333333333</v>
      </c>
      <c r="I34" s="4">
        <f t="shared" si="1"/>
        <v>2.40277777777778</v>
      </c>
      <c r="J34" s="7">
        <f ca="1">F34-IFERROR(VLOOKUP($A34,'0519'!$A$1:'0519'!G$48,6,FALSE),IFERROR(VLOOKUP($C34,'0519'!$C$1:'0519'!G$48,4,FALSE),F34-D34))</f>
        <v>0</v>
      </c>
      <c r="K34" s="8">
        <f ca="1">G34-IFERROR(VLOOKUP($A34,'0519'!$A$1:'0519'!H$44,7,FALSE),IFERROR(VLOOKUP($C34,'0519'!$C$1:'0519'!H$44,5,FALSE),G34-E34))</f>
        <v>0</v>
      </c>
      <c r="L34" s="4">
        <f ca="1" t="shared" si="2"/>
        <v>0</v>
      </c>
      <c r="M34" s="2" t="s">
        <v>126</v>
      </c>
    </row>
    <row r="35" s="2" customFormat="1" spans="1:13">
      <c r="A35" s="2" t="s">
        <v>136</v>
      </c>
      <c r="B35" s="2" t="s">
        <v>10</v>
      </c>
      <c r="C35" s="9">
        <v>45609</v>
      </c>
      <c r="D35" s="2">
        <v>19</v>
      </c>
      <c r="E35" s="2">
        <v>1</v>
      </c>
      <c r="F35" s="2">
        <v>2606</v>
      </c>
      <c r="G35" s="2">
        <v>890</v>
      </c>
      <c r="H35" s="4">
        <f t="shared" si="0"/>
        <v>0.0526315789473684</v>
      </c>
      <c r="I35" s="4">
        <f t="shared" si="1"/>
        <v>0.341519570222563</v>
      </c>
      <c r="J35" s="7">
        <f ca="1">F35-IFERROR(VLOOKUP($A35,'0519'!$A$1:'0519'!G$48,6,FALSE),IFERROR(VLOOKUP($C35,'0519'!$C$1:'0519'!G$48,4,FALSE),F35-D35))</f>
        <v>9</v>
      </c>
      <c r="K35" s="8">
        <f ca="1">G35-IFERROR(VLOOKUP($A35,'0519'!$A$1:'0519'!H$44,7,FALSE),IFERROR(VLOOKUP($C35,'0519'!$C$1:'0519'!H$44,5,FALSE),G35-E35))</f>
        <v>0</v>
      </c>
      <c r="L35" s="4">
        <f ca="1" t="shared" si="2"/>
        <v>0</v>
      </c>
      <c r="M35" s="2" t="s">
        <v>137</v>
      </c>
    </row>
    <row r="36" s="2" customFormat="1" spans="1:13">
      <c r="A36" s="2" t="s">
        <v>127</v>
      </c>
      <c r="B36" s="2" t="s">
        <v>10</v>
      </c>
      <c r="C36" s="9">
        <v>45547</v>
      </c>
      <c r="D36" s="2">
        <v>22</v>
      </c>
      <c r="E36" s="2">
        <v>1</v>
      </c>
      <c r="F36" s="2">
        <v>9100</v>
      </c>
      <c r="G36" s="2">
        <v>2509</v>
      </c>
      <c r="H36" s="4">
        <f t="shared" si="0"/>
        <v>0.0454545454545455</v>
      </c>
      <c r="I36" s="4">
        <f t="shared" si="1"/>
        <v>0.275714285714286</v>
      </c>
      <c r="J36" s="7">
        <f ca="1">F36-IFERROR(VLOOKUP($A36,'0519'!$A$1:'0519'!G$48,6,FALSE),IFERROR(VLOOKUP($C36,'0519'!$C$1:'0519'!G$48,4,FALSE),F36-D36))</f>
        <v>4</v>
      </c>
      <c r="K36" s="8">
        <f ca="1">G36-IFERROR(VLOOKUP($A36,'0519'!$A$1:'0519'!H$44,7,FALSE),IFERROR(VLOOKUP($C36,'0519'!$C$1:'0519'!H$44,5,FALSE),G36-E36))</f>
        <v>0</v>
      </c>
      <c r="L36" s="4">
        <f ca="1" t="shared" si="2"/>
        <v>0</v>
      </c>
      <c r="M36" s="2" t="s">
        <v>128</v>
      </c>
    </row>
    <row r="37" spans="11:11">
      <c r="K37" s="2">
        <f ca="1">SUM(K2:K36)</f>
        <v>904</v>
      </c>
    </row>
    <row r="46" spans="8:12">
      <c r="H46" s="10">
        <v>2.08823529411765</v>
      </c>
      <c r="I46" s="10">
        <v>6.54054054054054</v>
      </c>
      <c r="J46" s="11">
        <v>2</v>
      </c>
      <c r="K46" s="11">
        <v>0</v>
      </c>
      <c r="L46" s="10">
        <v>0</v>
      </c>
    </row>
    <row r="47" spans="13:14">
      <c r="M47" s="12" t="s">
        <v>139</v>
      </c>
      <c r="N47" s="12" t="s">
        <v>140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8"/>
  <sheetViews>
    <sheetView topLeftCell="A13" workbookViewId="0">
      <selection activeCell="A27" sqref="$A27:$XFD27"/>
    </sheetView>
  </sheetViews>
  <sheetFormatPr defaultColWidth="10" defaultRowHeight="14.4"/>
  <cols>
    <col min="1" max="1" width="57" style="2" customWidth="1"/>
    <col min="2" max="2" width="0.222222222222222" style="2" customWidth="1"/>
    <col min="3" max="3" width="10.7777777777778" style="2" customWidth="1"/>
    <col min="4" max="7" width="6.11111111111111" style="2" customWidth="1"/>
    <col min="8" max="9" width="6.77777777777778" style="2" customWidth="1"/>
    <col min="10" max="10" width="7.66666666666667" style="2" customWidth="1"/>
    <col min="11" max="12" width="6.77777777777778" style="2" customWidth="1"/>
    <col min="13" max="13" width="18.6666666666667" style="2" customWidth="1"/>
    <col min="14" max="14" width="19.6666666666667" style="2" customWidth="1"/>
    <col min="15" max="16384" width="10" style="2"/>
  </cols>
  <sheetData>
    <row r="1" s="2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J1" s="5" t="s">
        <v>7</v>
      </c>
      <c r="K1" s="5" t="s">
        <v>8</v>
      </c>
    </row>
    <row r="2" s="2" customFormat="1" spans="1:12">
      <c r="A2" s="2" t="s">
        <v>146</v>
      </c>
      <c r="B2" s="2" t="s">
        <v>10</v>
      </c>
      <c r="C2" s="9">
        <v>45797</v>
      </c>
      <c r="D2" s="2">
        <v>77</v>
      </c>
      <c r="E2" s="2">
        <v>191</v>
      </c>
      <c r="F2" s="2">
        <v>77</v>
      </c>
      <c r="G2" s="2">
        <v>191</v>
      </c>
      <c r="H2" s="4">
        <f>E2/D2</f>
        <v>2.48051948051948</v>
      </c>
      <c r="I2" s="4">
        <f>G2/F2</f>
        <v>2.48051948051948</v>
      </c>
      <c r="J2" s="7">
        <f ca="1">F2-IFERROR(VLOOKUP($A2,'0520'!$A$1:'0520'!G$48,6,FALSE),IFERROR(VLOOKUP($C2,'0520'!$C$1:'0520'!G$48,4,FALSE),F2-D2))</f>
        <v>77</v>
      </c>
      <c r="K2" s="8">
        <f ca="1">G2-IFERROR(VLOOKUP($A2,'0520'!$A$1:'0520'!H$44,7,FALSE),IFERROR(VLOOKUP($C2,'0520'!$C$1:'0520'!H$44,5,FALSE),G2-E2))</f>
        <v>191</v>
      </c>
      <c r="L2" s="4">
        <f ca="1">IFERROR(K2/J2,)</f>
        <v>2.48051948051948</v>
      </c>
    </row>
    <row r="3" s="2" customFormat="1" spans="1:12">
      <c r="A3" s="2" t="s">
        <v>142</v>
      </c>
      <c r="B3" s="2" t="s">
        <v>10</v>
      </c>
      <c r="C3" s="9">
        <v>45796</v>
      </c>
      <c r="D3" s="2">
        <v>101</v>
      </c>
      <c r="E3" s="2">
        <v>247</v>
      </c>
      <c r="F3" s="2">
        <v>101</v>
      </c>
      <c r="G3" s="2">
        <v>247</v>
      </c>
      <c r="H3" s="4">
        <f t="shared" ref="H3:H37" si="0">E3/D3</f>
        <v>2.44554455445545</v>
      </c>
      <c r="I3" s="4">
        <f t="shared" ref="I3:I37" si="1">G3/F3</f>
        <v>2.44554455445545</v>
      </c>
      <c r="J3" s="7">
        <f ca="1">F3-IFERROR(VLOOKUP($A3,'0520'!$A$1:'0520'!G$48,6,FALSE),IFERROR(VLOOKUP($C3,'0520'!$C$1:'0520'!G$48,4,FALSE),F3-D3))</f>
        <v>34</v>
      </c>
      <c r="K3" s="8">
        <f ca="1">G3-IFERROR(VLOOKUP($A3,'0520'!$A$1:'0520'!H$44,7,FALSE),IFERROR(VLOOKUP($C3,'0520'!$C$1:'0520'!H$44,5,FALSE),G3-E3))</f>
        <v>77</v>
      </c>
      <c r="L3" s="4">
        <f ca="1" t="shared" ref="L3:L37" si="2">IFERROR(K3/J3,)</f>
        <v>2.26470588235294</v>
      </c>
    </row>
    <row r="4" s="2" customFormat="1" spans="1:12">
      <c r="A4" s="2" t="s">
        <v>132</v>
      </c>
      <c r="B4" s="2" t="s">
        <v>10</v>
      </c>
      <c r="C4" s="9">
        <v>45795</v>
      </c>
      <c r="D4" s="2">
        <v>149</v>
      </c>
      <c r="E4" s="2">
        <v>195</v>
      </c>
      <c r="F4" s="2">
        <v>149</v>
      </c>
      <c r="G4" s="2">
        <v>195</v>
      </c>
      <c r="H4" s="4">
        <f t="shared" si="0"/>
        <v>1.30872483221477</v>
      </c>
      <c r="I4" s="4">
        <f t="shared" si="1"/>
        <v>1.30872483221477</v>
      </c>
      <c r="J4" s="7">
        <f ca="1">F4-IFERROR(VLOOKUP($A4,'0520'!$A$1:'0520'!G$48,6,FALSE),IFERROR(VLOOKUP($C4,'0520'!$C$1:'0520'!G$48,4,FALSE),F4-D4))</f>
        <v>39</v>
      </c>
      <c r="K4" s="8">
        <f ca="1">G4-IFERROR(VLOOKUP($A4,'0520'!$A$1:'0520'!H$44,7,FALSE),IFERROR(VLOOKUP($C4,'0520'!$C$1:'0520'!H$44,5,FALSE),G4-E4))</f>
        <v>8</v>
      </c>
      <c r="L4" s="4">
        <f ca="1" t="shared" si="2"/>
        <v>0.205128205128205</v>
      </c>
    </row>
    <row r="5" s="2" customFormat="1" spans="1:13">
      <c r="A5" s="2" t="s">
        <v>129</v>
      </c>
      <c r="B5" s="2" t="s">
        <v>10</v>
      </c>
      <c r="C5" s="9">
        <v>45794</v>
      </c>
      <c r="D5" s="2">
        <v>199</v>
      </c>
      <c r="E5" s="2">
        <v>286</v>
      </c>
      <c r="F5" s="2">
        <v>199</v>
      </c>
      <c r="G5" s="2">
        <v>286</v>
      </c>
      <c r="H5" s="4">
        <f t="shared" si="0"/>
        <v>1.43718592964824</v>
      </c>
      <c r="I5" s="4">
        <f t="shared" si="1"/>
        <v>1.43718592964824</v>
      </c>
      <c r="J5" s="7">
        <f ca="1">F5-IFERROR(VLOOKUP($A5,'0520'!$A$1:'0520'!G$48,6,FALSE),IFERROR(VLOOKUP($C5,'0520'!$C$1:'0520'!G$48,4,FALSE),F5-D5))</f>
        <v>89</v>
      </c>
      <c r="K5" s="8">
        <f ca="1">G5-IFERROR(VLOOKUP($A5,'0520'!$A$1:'0520'!H$44,7,FALSE),IFERROR(VLOOKUP($C5,'0520'!$C$1:'0520'!H$44,5,FALSE),G5-E5))</f>
        <v>30</v>
      </c>
      <c r="L5" s="4">
        <f ca="1" t="shared" si="2"/>
        <v>0.337078651685393</v>
      </c>
      <c r="M5" s="2" t="s">
        <v>143</v>
      </c>
    </row>
    <row r="6" s="2" customFormat="1" spans="1:12">
      <c r="A6" s="2" t="s">
        <v>130</v>
      </c>
      <c r="B6" s="2" t="s">
        <v>10</v>
      </c>
      <c r="C6" s="9">
        <v>45794</v>
      </c>
      <c r="D6" s="2">
        <v>2608</v>
      </c>
      <c r="E6" s="2">
        <v>1362</v>
      </c>
      <c r="F6" s="2">
        <v>2608</v>
      </c>
      <c r="G6" s="2">
        <v>1362</v>
      </c>
      <c r="H6" s="4">
        <f t="shared" si="0"/>
        <v>0.522239263803681</v>
      </c>
      <c r="I6" s="4">
        <f t="shared" si="1"/>
        <v>0.522239263803681</v>
      </c>
      <c r="J6" s="7">
        <f ca="1">F6-IFERROR(VLOOKUP($A6,'0520'!$A$1:'0520'!G$48,6,FALSE),IFERROR(VLOOKUP($C6,'0520'!$C$1:'0520'!G$48,4,FALSE),F6-D6))</f>
        <v>1685</v>
      </c>
      <c r="K6" s="8">
        <f ca="1">G6-IFERROR(VLOOKUP($A6,'0520'!$A$1:'0520'!H$44,7,FALSE),IFERROR(VLOOKUP($C6,'0520'!$C$1:'0520'!H$44,5,FALSE),G6-E6))</f>
        <v>524</v>
      </c>
      <c r="L6" s="4">
        <f ca="1" t="shared" si="2"/>
        <v>0.310979228486647</v>
      </c>
    </row>
    <row r="7" s="2" customFormat="1" spans="1:12">
      <c r="A7" s="2" t="s">
        <v>120</v>
      </c>
      <c r="B7" s="2" t="s">
        <v>10</v>
      </c>
      <c r="C7" s="9">
        <v>45793</v>
      </c>
      <c r="D7" s="2">
        <v>220</v>
      </c>
      <c r="E7" s="2">
        <v>448</v>
      </c>
      <c r="F7" s="2">
        <v>220</v>
      </c>
      <c r="G7" s="2">
        <v>448</v>
      </c>
      <c r="H7" s="4">
        <f t="shared" si="0"/>
        <v>2.03636363636364</v>
      </c>
      <c r="I7" s="4">
        <f t="shared" si="1"/>
        <v>2.03636363636364</v>
      </c>
      <c r="J7" s="7">
        <f ca="1">F7-IFERROR(VLOOKUP($A7,'0520'!$A$1:'0520'!G$48,6,FALSE),IFERROR(VLOOKUP($C7,'0520'!$C$1:'0520'!G$48,4,FALSE),F7-D7))</f>
        <v>15</v>
      </c>
      <c r="K7" s="8">
        <f ca="1">G7-IFERROR(VLOOKUP($A7,'0520'!$A$1:'0520'!H$44,7,FALSE),IFERROR(VLOOKUP($C7,'0520'!$C$1:'0520'!H$44,5,FALSE),G7-E7))</f>
        <v>0</v>
      </c>
      <c r="L7" s="4">
        <f ca="1" t="shared" si="2"/>
        <v>0</v>
      </c>
    </row>
    <row r="8" s="2" customFormat="1" spans="1:12">
      <c r="A8" s="2" t="s">
        <v>121</v>
      </c>
      <c r="B8" s="2" t="s">
        <v>10</v>
      </c>
      <c r="C8" s="9">
        <v>45793</v>
      </c>
      <c r="D8" s="2">
        <v>151</v>
      </c>
      <c r="E8" s="2">
        <v>207</v>
      </c>
      <c r="F8" s="2">
        <v>151</v>
      </c>
      <c r="G8" s="2">
        <v>207</v>
      </c>
      <c r="H8" s="4">
        <f t="shared" si="0"/>
        <v>1.37086092715232</v>
      </c>
      <c r="I8" s="4">
        <f t="shared" si="1"/>
        <v>1.37086092715232</v>
      </c>
      <c r="J8" s="7">
        <f ca="1">F8-IFERROR(VLOOKUP($A8,'0520'!$A$1:'0520'!G$48,6,FALSE),IFERROR(VLOOKUP($C8,'0520'!$C$1:'0520'!G$48,4,FALSE),F8-D8))</f>
        <v>22</v>
      </c>
      <c r="K8" s="8">
        <f ca="1">G8-IFERROR(VLOOKUP($A8,'0520'!$A$1:'0520'!H$44,7,FALSE),IFERROR(VLOOKUP($C8,'0520'!$C$1:'0520'!H$44,5,FALSE),G8-E8))</f>
        <v>8</v>
      </c>
      <c r="L8" s="4">
        <f ca="1" t="shared" si="2"/>
        <v>0.363636363636364</v>
      </c>
    </row>
    <row r="9" s="2" customFormat="1" spans="1:12">
      <c r="A9" s="2" t="s">
        <v>115</v>
      </c>
      <c r="B9" s="2" t="s">
        <v>10</v>
      </c>
      <c r="C9" s="9">
        <v>45792</v>
      </c>
      <c r="D9" s="2">
        <v>232</v>
      </c>
      <c r="E9" s="2">
        <v>226</v>
      </c>
      <c r="F9" s="2">
        <v>232</v>
      </c>
      <c r="G9" s="2">
        <v>226</v>
      </c>
      <c r="H9" s="4">
        <f t="shared" si="0"/>
        <v>0.974137931034483</v>
      </c>
      <c r="I9" s="4">
        <f t="shared" si="1"/>
        <v>0.974137931034483</v>
      </c>
      <c r="J9" s="7">
        <f ca="1">F9-IFERROR(VLOOKUP($A9,'0520'!$A$1:'0520'!G$48,6,FALSE),IFERROR(VLOOKUP($C9,'0520'!$C$1:'0520'!G$48,4,FALSE),F9-D9))</f>
        <v>2</v>
      </c>
      <c r="K9" s="8">
        <f ca="1">G9-IFERROR(VLOOKUP($A9,'0520'!$A$1:'0520'!H$44,7,FALSE),IFERROR(VLOOKUP($C9,'0520'!$C$1:'0520'!H$44,5,FALSE),G9-E9))</f>
        <v>0</v>
      </c>
      <c r="L9" s="4">
        <f ca="1" t="shared" si="2"/>
        <v>0</v>
      </c>
    </row>
    <row r="10" s="2" customFormat="1" spans="1:13">
      <c r="A10" s="2" t="s">
        <v>116</v>
      </c>
      <c r="B10" s="2" t="s">
        <v>10</v>
      </c>
      <c r="C10" s="9">
        <v>45792</v>
      </c>
      <c r="D10" s="2">
        <v>146</v>
      </c>
      <c r="E10" s="2">
        <v>519</v>
      </c>
      <c r="F10" s="2">
        <v>146</v>
      </c>
      <c r="G10" s="2">
        <v>519</v>
      </c>
      <c r="H10" s="4">
        <f t="shared" si="0"/>
        <v>3.55479452054795</v>
      </c>
      <c r="I10" s="4">
        <f t="shared" si="1"/>
        <v>3.55479452054795</v>
      </c>
      <c r="J10" s="7">
        <f ca="1">F10-IFERROR(VLOOKUP($A10,'0520'!$A$1:'0520'!G$48,6,FALSE),IFERROR(VLOOKUP($C10,'0520'!$C$1:'0520'!G$48,4,FALSE),F10-D10))</f>
        <v>13</v>
      </c>
      <c r="K10" s="8">
        <f ca="1">G10-IFERROR(VLOOKUP($A10,'0520'!$A$1:'0520'!H$44,7,FALSE),IFERROR(VLOOKUP($C10,'0520'!$C$1:'0520'!H$44,5,FALSE),G10-E10))</f>
        <v>93</v>
      </c>
      <c r="L10" s="4">
        <f ca="1" t="shared" si="2"/>
        <v>7.15384615384615</v>
      </c>
      <c r="M10" s="2" t="s">
        <v>133</v>
      </c>
    </row>
    <row r="11" s="2" customFormat="1" spans="1:12">
      <c r="A11" s="2" t="s">
        <v>112</v>
      </c>
      <c r="B11" s="2" t="s">
        <v>10</v>
      </c>
      <c r="C11" s="9">
        <v>45791</v>
      </c>
      <c r="D11" s="2">
        <v>300</v>
      </c>
      <c r="E11" s="2">
        <v>177</v>
      </c>
      <c r="F11" s="2">
        <v>300</v>
      </c>
      <c r="G11" s="2">
        <v>177</v>
      </c>
      <c r="H11" s="4">
        <f t="shared" si="0"/>
        <v>0.59</v>
      </c>
      <c r="I11" s="4">
        <f t="shared" si="1"/>
        <v>0.59</v>
      </c>
      <c r="J11" s="7">
        <f ca="1">F11-IFERROR(VLOOKUP($A11,'0520'!$A$1:'0520'!G$48,6,FALSE),IFERROR(VLOOKUP($C11,'0520'!$C$1:'0520'!G$48,4,FALSE),F11-D11))</f>
        <v>10</v>
      </c>
      <c r="K11" s="8">
        <f ca="1">G11-IFERROR(VLOOKUP($A11,'0520'!$A$1:'0520'!H$44,7,FALSE),IFERROR(VLOOKUP($C11,'0520'!$C$1:'0520'!H$44,5,FALSE),G11-E11))</f>
        <v>0</v>
      </c>
      <c r="L11" s="4">
        <f ca="1" t="shared" si="2"/>
        <v>0</v>
      </c>
    </row>
    <row r="12" s="2" customFormat="1" spans="1:12">
      <c r="A12" s="2" t="s">
        <v>113</v>
      </c>
      <c r="B12" s="2" t="s">
        <v>10</v>
      </c>
      <c r="C12" s="9">
        <v>45791</v>
      </c>
      <c r="D12" s="2">
        <v>274</v>
      </c>
      <c r="E12" s="2">
        <v>264</v>
      </c>
      <c r="F12" s="2">
        <v>274</v>
      </c>
      <c r="G12" s="2">
        <v>264</v>
      </c>
      <c r="H12" s="4">
        <f t="shared" si="0"/>
        <v>0.963503649635037</v>
      </c>
      <c r="I12" s="4">
        <f t="shared" si="1"/>
        <v>0.963503649635037</v>
      </c>
      <c r="J12" s="7">
        <f ca="1">F12-IFERROR(VLOOKUP($A12,'0520'!$A$1:'0520'!G$48,6,FALSE),IFERROR(VLOOKUP($C12,'0520'!$C$1:'0520'!G$48,4,FALSE),F12-D12))</f>
        <v>4</v>
      </c>
      <c r="K12" s="8">
        <f ca="1">G12-IFERROR(VLOOKUP($A12,'0520'!$A$1:'0520'!H$44,7,FALSE),IFERROR(VLOOKUP($C12,'0520'!$C$1:'0520'!H$44,5,FALSE),G12-E12))</f>
        <v>0</v>
      </c>
      <c r="L12" s="4">
        <f ca="1" t="shared" si="2"/>
        <v>0</v>
      </c>
    </row>
    <row r="13" s="2" customFormat="1" spans="1:12">
      <c r="A13" s="2" t="s">
        <v>107</v>
      </c>
      <c r="B13" s="2" t="s">
        <v>10</v>
      </c>
      <c r="C13" s="9">
        <v>45790</v>
      </c>
      <c r="D13" s="2">
        <v>186</v>
      </c>
      <c r="E13" s="2">
        <v>102</v>
      </c>
      <c r="F13" s="2">
        <v>333</v>
      </c>
      <c r="G13" s="2">
        <v>306</v>
      </c>
      <c r="H13" s="4">
        <f t="shared" si="0"/>
        <v>0.548387096774194</v>
      </c>
      <c r="I13" s="4">
        <f t="shared" si="1"/>
        <v>0.918918918918919</v>
      </c>
      <c r="J13" s="7">
        <f ca="1">F13-IFERROR(VLOOKUP($A13,'0520'!$A$1:'0520'!G$48,6,FALSE),IFERROR(VLOOKUP($C13,'0520'!$C$1:'0520'!G$48,4,FALSE),F13-D13))</f>
        <v>5</v>
      </c>
      <c r="K13" s="8">
        <f ca="1">G13-IFERROR(VLOOKUP($A13,'0520'!$A$1:'0520'!H$44,7,FALSE),IFERROR(VLOOKUP($C13,'0520'!$C$1:'0520'!H$44,5,FALSE),G13-E13))</f>
        <v>0</v>
      </c>
      <c r="L13" s="4">
        <f ca="1" t="shared" si="2"/>
        <v>0</v>
      </c>
    </row>
    <row r="14" s="2" customFormat="1" spans="1:13">
      <c r="A14" s="2" t="s">
        <v>108</v>
      </c>
      <c r="B14" s="2" t="s">
        <v>10</v>
      </c>
      <c r="C14" s="9">
        <v>45790</v>
      </c>
      <c r="D14" s="2">
        <v>5443</v>
      </c>
      <c r="E14" s="2">
        <v>961</v>
      </c>
      <c r="F14" s="2">
        <v>5497</v>
      </c>
      <c r="G14" s="2">
        <v>1217</v>
      </c>
      <c r="H14" s="4">
        <f t="shared" si="0"/>
        <v>0.176557045746831</v>
      </c>
      <c r="I14" s="4">
        <f t="shared" si="1"/>
        <v>0.22139348735674</v>
      </c>
      <c r="J14" s="7">
        <f ca="1">F14-IFERROR(VLOOKUP($A14,'0520'!$A$1:'0520'!G$48,6,FALSE),IFERROR(VLOOKUP($C14,'0520'!$C$1:'0520'!G$48,4,FALSE),F14-D14))</f>
        <v>7</v>
      </c>
      <c r="K14" s="8">
        <f ca="1">G14-IFERROR(VLOOKUP($A14,'0520'!$A$1:'0520'!H$44,7,FALSE),IFERROR(VLOOKUP($C14,'0520'!$C$1:'0520'!H$44,5,FALSE),G14-E14))</f>
        <v>0</v>
      </c>
      <c r="L14" s="4">
        <f ca="1" t="shared" si="2"/>
        <v>0</v>
      </c>
      <c r="M14" s="2" t="s">
        <v>109</v>
      </c>
    </row>
    <row r="15" s="2" customFormat="1" spans="1:13">
      <c r="A15" s="2" t="s">
        <v>105</v>
      </c>
      <c r="B15" s="2" t="s">
        <v>10</v>
      </c>
      <c r="C15" s="9">
        <v>45789</v>
      </c>
      <c r="D15" s="2">
        <v>59</v>
      </c>
      <c r="E15" s="2">
        <v>109</v>
      </c>
      <c r="F15" s="2">
        <v>194</v>
      </c>
      <c r="G15" s="2">
        <v>564</v>
      </c>
      <c r="H15" s="4">
        <f t="shared" si="0"/>
        <v>1.84745762711864</v>
      </c>
      <c r="I15" s="4">
        <f t="shared" si="1"/>
        <v>2.90721649484536</v>
      </c>
      <c r="J15" s="7">
        <f ca="1">F15-IFERROR(VLOOKUP($A15,'0520'!$A$1:'0520'!G$48,6,FALSE),IFERROR(VLOOKUP($C15,'0520'!$C$1:'0520'!G$48,4,FALSE),F15-D15))</f>
        <v>6</v>
      </c>
      <c r="K15" s="8">
        <f ca="1">G15-IFERROR(VLOOKUP($A15,'0520'!$A$1:'0520'!H$44,7,FALSE),IFERROR(VLOOKUP($C15,'0520'!$C$1:'0520'!H$44,5,FALSE),G15-E15))</f>
        <v>0</v>
      </c>
      <c r="L15" s="4">
        <f ca="1" t="shared" si="2"/>
        <v>0</v>
      </c>
      <c r="M15" s="2" t="s">
        <v>131</v>
      </c>
    </row>
    <row r="16" s="2" customFormat="1" spans="1:12">
      <c r="A16" s="2" t="s">
        <v>103</v>
      </c>
      <c r="B16" s="2" t="s">
        <v>10</v>
      </c>
      <c r="C16" s="9">
        <v>45788</v>
      </c>
      <c r="D16" s="2">
        <v>108</v>
      </c>
      <c r="E16" s="2">
        <v>12</v>
      </c>
      <c r="F16" s="2">
        <v>317</v>
      </c>
      <c r="G16" s="2">
        <v>674</v>
      </c>
      <c r="H16" s="4">
        <f t="shared" si="0"/>
        <v>0.111111111111111</v>
      </c>
      <c r="I16" s="4">
        <f t="shared" si="1"/>
        <v>2.12618296529968</v>
      </c>
      <c r="J16" s="7">
        <f ca="1">F16-IFERROR(VLOOKUP($A16,'0520'!$A$1:'0520'!G$48,6,FALSE),IFERROR(VLOOKUP($C16,'0520'!$C$1:'0520'!G$48,4,FALSE),F16-D16))</f>
        <v>0</v>
      </c>
      <c r="K16" s="8">
        <f ca="1">G16-IFERROR(VLOOKUP($A16,'0520'!$A$1:'0520'!H$44,7,FALSE),IFERROR(VLOOKUP($C16,'0520'!$C$1:'0520'!H$44,5,FALSE),G16-E16))</f>
        <v>0</v>
      </c>
      <c r="L16" s="4">
        <f ca="1" t="shared" si="2"/>
        <v>0</v>
      </c>
    </row>
    <row r="17" s="2" customFormat="1" spans="1:12">
      <c r="A17" s="2" t="s">
        <v>101</v>
      </c>
      <c r="B17" s="2" t="s">
        <v>10</v>
      </c>
      <c r="C17" s="9">
        <v>45787</v>
      </c>
      <c r="D17" s="2">
        <v>45</v>
      </c>
      <c r="E17" s="2">
        <v>6</v>
      </c>
      <c r="F17" s="2">
        <v>201</v>
      </c>
      <c r="G17" s="2">
        <v>759</v>
      </c>
      <c r="H17" s="4">
        <f t="shared" si="0"/>
        <v>0.133333333333333</v>
      </c>
      <c r="I17" s="4">
        <f t="shared" si="1"/>
        <v>3.77611940298507</v>
      </c>
      <c r="J17" s="7">
        <f ca="1">F17-IFERROR(VLOOKUP($A17,'0520'!$A$1:'0520'!G$48,6,FALSE),IFERROR(VLOOKUP($C17,'0520'!$C$1:'0520'!G$48,4,FALSE),F17-D17))</f>
        <v>5</v>
      </c>
      <c r="K17" s="8">
        <f ca="1">G17-IFERROR(VLOOKUP($A17,'0520'!$A$1:'0520'!H$44,7,FALSE),IFERROR(VLOOKUP($C17,'0520'!$C$1:'0520'!H$44,5,FALSE),G17-E17))</f>
        <v>0</v>
      </c>
      <c r="L17" s="4">
        <f ca="1" t="shared" si="2"/>
        <v>0</v>
      </c>
    </row>
    <row r="18" s="2" customFormat="1" spans="1:13">
      <c r="A18" s="2" t="s">
        <v>93</v>
      </c>
      <c r="B18" s="2" t="s">
        <v>10</v>
      </c>
      <c r="C18" s="9">
        <v>45786</v>
      </c>
      <c r="D18" s="2">
        <v>36</v>
      </c>
      <c r="E18" s="2">
        <v>6</v>
      </c>
      <c r="F18" s="2">
        <v>322</v>
      </c>
      <c r="G18" s="2">
        <v>287</v>
      </c>
      <c r="H18" s="4">
        <f t="shared" si="0"/>
        <v>0.166666666666667</v>
      </c>
      <c r="I18" s="4">
        <f t="shared" si="1"/>
        <v>0.891304347826087</v>
      </c>
      <c r="J18" s="7">
        <f ca="1">F18-IFERROR(VLOOKUP($A18,'0520'!$A$1:'0520'!G$48,6,FALSE),IFERROR(VLOOKUP($C18,'0520'!$C$1:'0520'!G$48,4,FALSE),F18-D18))</f>
        <v>0</v>
      </c>
      <c r="K18" s="8">
        <f ca="1">G18-IFERROR(VLOOKUP($A18,'0520'!$A$1:'0520'!H$44,7,FALSE),IFERROR(VLOOKUP($C18,'0520'!$C$1:'0520'!H$44,5,FALSE),G18-E18))</f>
        <v>0</v>
      </c>
      <c r="L18" s="4">
        <f ca="1" t="shared" si="2"/>
        <v>0</v>
      </c>
      <c r="M18" s="2" t="s">
        <v>94</v>
      </c>
    </row>
    <row r="19" s="2" customFormat="1" spans="1:12">
      <c r="A19" s="2" t="s">
        <v>95</v>
      </c>
      <c r="B19" s="2" t="s">
        <v>10</v>
      </c>
      <c r="C19" s="9">
        <v>45786</v>
      </c>
      <c r="D19" s="2">
        <v>25</v>
      </c>
      <c r="E19" s="2">
        <v>6</v>
      </c>
      <c r="F19" s="2">
        <v>377</v>
      </c>
      <c r="G19" s="2">
        <v>363</v>
      </c>
      <c r="H19" s="4">
        <f t="shared" si="0"/>
        <v>0.24</v>
      </c>
      <c r="I19" s="4">
        <f t="shared" si="1"/>
        <v>0.962864721485411</v>
      </c>
      <c r="J19" s="7">
        <f ca="1">F19-IFERROR(VLOOKUP($A19,'0520'!$A$1:'0520'!G$48,6,FALSE),IFERROR(VLOOKUP($C19,'0520'!$C$1:'0520'!G$48,4,FALSE),F19-D19))</f>
        <v>0</v>
      </c>
      <c r="K19" s="8">
        <f ca="1">G19-IFERROR(VLOOKUP($A19,'0520'!$A$1:'0520'!H$44,7,FALSE),IFERROR(VLOOKUP($C19,'0520'!$C$1:'0520'!H$44,5,FALSE),G19-E19))</f>
        <v>0</v>
      </c>
      <c r="L19" s="4">
        <f ca="1" t="shared" si="2"/>
        <v>0</v>
      </c>
    </row>
    <row r="20" s="2" customFormat="1" spans="1:12">
      <c r="A20" s="2" t="s">
        <v>77</v>
      </c>
      <c r="B20" s="2" t="s">
        <v>10</v>
      </c>
      <c r="C20" s="9">
        <v>45782</v>
      </c>
      <c r="D20" s="2">
        <v>18</v>
      </c>
      <c r="E20" s="2">
        <v>17</v>
      </c>
      <c r="F20" s="2">
        <v>375</v>
      </c>
      <c r="G20" s="2">
        <v>237</v>
      </c>
      <c r="H20" s="4">
        <f t="shared" si="0"/>
        <v>0.944444444444444</v>
      </c>
      <c r="I20" s="4">
        <f t="shared" si="1"/>
        <v>0.632</v>
      </c>
      <c r="J20" s="7">
        <f ca="1">F20-IFERROR(VLOOKUP($A20,'0520'!$A$1:'0520'!G$48,6,FALSE),IFERROR(VLOOKUP($C20,'0520'!$C$1:'0520'!G$48,4,FALSE),F20-D20))</f>
        <v>4</v>
      </c>
      <c r="K20" s="8">
        <f ca="1">G20-IFERROR(VLOOKUP($A20,'0520'!$A$1:'0520'!H$44,7,FALSE),IFERROR(VLOOKUP($C20,'0520'!$C$1:'0520'!H$44,5,FALSE),G20-E20))</f>
        <v>17</v>
      </c>
      <c r="L20" s="4">
        <f ca="1" t="shared" si="2"/>
        <v>4.25</v>
      </c>
    </row>
    <row r="21" s="2" customFormat="1" spans="1:12">
      <c r="A21" s="2" t="s">
        <v>72</v>
      </c>
      <c r="B21" s="2" t="s">
        <v>10</v>
      </c>
      <c r="C21" s="9">
        <v>45781</v>
      </c>
      <c r="D21" s="2">
        <v>12</v>
      </c>
      <c r="E21" s="2">
        <v>6</v>
      </c>
      <c r="F21" s="2">
        <v>329</v>
      </c>
      <c r="G21" s="2">
        <v>665</v>
      </c>
      <c r="H21" s="4">
        <f t="shared" si="0"/>
        <v>0.5</v>
      </c>
      <c r="I21" s="4">
        <f t="shared" si="1"/>
        <v>2.02127659574468</v>
      </c>
      <c r="J21" s="7">
        <f ca="1">F21-IFERROR(VLOOKUP($A21,'0520'!$A$1:'0520'!G$48,6,FALSE),IFERROR(VLOOKUP($C21,'0520'!$C$1:'0520'!G$48,4,FALSE),F21-D21))</f>
        <v>0</v>
      </c>
      <c r="K21" s="8">
        <f ca="1">G21-IFERROR(VLOOKUP($A21,'0520'!$A$1:'0520'!H$44,7,FALSE),IFERROR(VLOOKUP($C21,'0520'!$C$1:'0520'!H$44,5,FALSE),G21-E21))</f>
        <v>0</v>
      </c>
      <c r="L21" s="4">
        <f ca="1" t="shared" si="2"/>
        <v>0</v>
      </c>
    </row>
    <row r="22" s="2" customFormat="1" spans="1:12">
      <c r="A22" s="2" t="s">
        <v>134</v>
      </c>
      <c r="B22" s="2" t="s">
        <v>10</v>
      </c>
      <c r="C22" s="9">
        <v>45780</v>
      </c>
      <c r="D22" s="2">
        <v>308</v>
      </c>
      <c r="E22" s="2">
        <v>49</v>
      </c>
      <c r="F22" s="2">
        <v>1563</v>
      </c>
      <c r="G22" s="2">
        <v>586</v>
      </c>
      <c r="H22" s="4">
        <f t="shared" si="0"/>
        <v>0.159090909090909</v>
      </c>
      <c r="I22" s="4">
        <f t="shared" si="1"/>
        <v>0.374920025591811</v>
      </c>
      <c r="J22" s="7">
        <f ca="1">F22-IFERROR(VLOOKUP($A22,'0520'!$A$1:'0520'!G$48,6,FALSE),IFERROR(VLOOKUP($C22,'0520'!$C$1:'0520'!G$48,4,FALSE),F22-D22))</f>
        <v>67</v>
      </c>
      <c r="K22" s="8">
        <f ca="1">G22-IFERROR(VLOOKUP($A22,'0520'!$A$1:'0520'!H$44,7,FALSE),IFERROR(VLOOKUP($C22,'0520'!$C$1:'0520'!H$44,5,FALSE),G22-E22))</f>
        <v>0</v>
      </c>
      <c r="L22" s="4">
        <f ca="1" t="shared" si="2"/>
        <v>0</v>
      </c>
    </row>
    <row r="23" s="2" customFormat="1" spans="1:13">
      <c r="A23" s="2" t="s">
        <v>9</v>
      </c>
      <c r="B23" s="2" t="s">
        <v>10</v>
      </c>
      <c r="C23" s="9">
        <v>45777</v>
      </c>
      <c r="D23" s="2">
        <v>43</v>
      </c>
      <c r="E23" s="2">
        <v>28</v>
      </c>
      <c r="F23" s="2">
        <v>289</v>
      </c>
      <c r="G23" s="2">
        <v>332</v>
      </c>
      <c r="H23" s="4">
        <f t="shared" si="0"/>
        <v>0.651162790697674</v>
      </c>
      <c r="I23" s="4">
        <f t="shared" si="1"/>
        <v>1.14878892733564</v>
      </c>
      <c r="J23" s="7">
        <f ca="1">F23-IFERROR(VLOOKUP($A23,'0520'!$A$1:'0520'!G$48,6,FALSE),IFERROR(VLOOKUP($C23,'0520'!$C$1:'0520'!G$48,4,FALSE),F23-D23))</f>
        <v>1</v>
      </c>
      <c r="K23" s="8">
        <f ca="1">G23-IFERROR(VLOOKUP($A23,'0520'!$A$1:'0520'!H$44,7,FALSE),IFERROR(VLOOKUP($C23,'0520'!$C$1:'0520'!H$44,5,FALSE),G23-E23))</f>
        <v>0</v>
      </c>
      <c r="L23" s="4">
        <f ca="1" t="shared" si="2"/>
        <v>0</v>
      </c>
      <c r="M23" s="2" t="s">
        <v>117</v>
      </c>
    </row>
    <row r="24" s="2" customFormat="1" spans="1:12">
      <c r="A24" s="2" t="s">
        <v>27</v>
      </c>
      <c r="B24" s="2" t="s">
        <v>10</v>
      </c>
      <c r="C24" s="9">
        <v>45769</v>
      </c>
      <c r="D24" s="2">
        <v>57</v>
      </c>
      <c r="E24" s="2">
        <v>7</v>
      </c>
      <c r="F24" s="2">
        <v>668</v>
      </c>
      <c r="G24" s="2">
        <v>369</v>
      </c>
      <c r="H24" s="4">
        <f t="shared" si="0"/>
        <v>0.12280701754386</v>
      </c>
      <c r="I24" s="4">
        <f t="shared" si="1"/>
        <v>0.552395209580838</v>
      </c>
      <c r="J24" s="7">
        <f ca="1">F24-IFERROR(VLOOKUP($A24,'0520'!$A$1:'0520'!G$48,6,FALSE),IFERROR(VLOOKUP($C24,'0520'!$C$1:'0520'!G$48,4,FALSE),F24-D24))</f>
        <v>10</v>
      </c>
      <c r="K24" s="8">
        <f ca="1">G24-IFERROR(VLOOKUP($A24,'0520'!$A$1:'0520'!H$44,7,FALSE),IFERROR(VLOOKUP($C24,'0520'!$C$1:'0520'!H$44,5,FALSE),G24-E24))</f>
        <v>0</v>
      </c>
      <c r="L24" s="4">
        <f ca="1" t="shared" si="2"/>
        <v>0</v>
      </c>
    </row>
    <row r="25" s="2" customFormat="1" spans="1:13">
      <c r="A25" s="2" t="s">
        <v>31</v>
      </c>
      <c r="B25" s="2" t="s">
        <v>10</v>
      </c>
      <c r="C25" s="9">
        <v>45767</v>
      </c>
      <c r="D25" s="2">
        <v>20</v>
      </c>
      <c r="E25" s="2">
        <v>7</v>
      </c>
      <c r="F25" s="2">
        <v>1191</v>
      </c>
      <c r="G25" s="2">
        <v>297</v>
      </c>
      <c r="H25" s="4">
        <f t="shared" si="0"/>
        <v>0.35</v>
      </c>
      <c r="I25" s="4">
        <f t="shared" si="1"/>
        <v>0.249370277078086</v>
      </c>
      <c r="J25" s="7">
        <f ca="1">F25-IFERROR(VLOOKUP($A25,'0520'!$A$1:'0520'!G$48,6,FALSE),IFERROR(VLOOKUP($C25,'0520'!$C$1:'0520'!G$48,4,FALSE),F25-D25))</f>
        <v>4</v>
      </c>
      <c r="K25" s="8">
        <f ca="1">G25-IFERROR(VLOOKUP($A25,'0520'!$A$1:'0520'!H$44,7,FALSE),IFERROR(VLOOKUP($C25,'0520'!$C$1:'0520'!H$44,5,FALSE),G25-E25))</f>
        <v>0</v>
      </c>
      <c r="L25" s="4">
        <f ca="1" t="shared" si="2"/>
        <v>0</v>
      </c>
      <c r="M25" s="2" t="s">
        <v>144</v>
      </c>
    </row>
    <row r="26" s="2" customFormat="1" spans="1:13">
      <c r="A26" s="2" t="s">
        <v>118</v>
      </c>
      <c r="B26" s="2" t="s">
        <v>10</v>
      </c>
      <c r="C26" s="9">
        <v>45759</v>
      </c>
      <c r="D26" s="2">
        <v>8</v>
      </c>
      <c r="E26" s="2">
        <v>5</v>
      </c>
      <c r="F26" s="2">
        <v>525</v>
      </c>
      <c r="G26" s="2">
        <v>647</v>
      </c>
      <c r="H26" s="4">
        <f t="shared" si="0"/>
        <v>0.625</v>
      </c>
      <c r="I26" s="4">
        <f t="shared" si="1"/>
        <v>1.23238095238095</v>
      </c>
      <c r="J26" s="7">
        <f ca="1">F26-IFERROR(VLOOKUP($A26,'0520'!$A$1:'0520'!G$48,6,FALSE),IFERROR(VLOOKUP($C26,'0520'!$C$1:'0520'!G$48,4,FALSE),F26-D26))</f>
        <v>0</v>
      </c>
      <c r="K26" s="8">
        <f ca="1">G26-IFERROR(VLOOKUP($A26,'0520'!$A$1:'0520'!H$44,7,FALSE),IFERROR(VLOOKUP($C26,'0520'!$C$1:'0520'!H$44,5,FALSE),G26-E26))</f>
        <v>0</v>
      </c>
      <c r="L26" s="4">
        <f ca="1" t="shared" si="2"/>
        <v>0</v>
      </c>
      <c r="M26" s="2" t="s">
        <v>119</v>
      </c>
    </row>
    <row r="27" s="2" customFormat="1" spans="1:12">
      <c r="A27" s="2" t="s">
        <v>114</v>
      </c>
      <c r="B27" s="2" t="s">
        <v>10</v>
      </c>
      <c r="C27" s="9">
        <v>45756</v>
      </c>
      <c r="D27" s="2">
        <v>22</v>
      </c>
      <c r="E27" s="2">
        <v>5</v>
      </c>
      <c r="F27" s="2">
        <v>488</v>
      </c>
      <c r="G27" s="2">
        <v>619</v>
      </c>
      <c r="H27" s="4">
        <f t="shared" si="0"/>
        <v>0.227272727272727</v>
      </c>
      <c r="I27" s="4">
        <f t="shared" si="1"/>
        <v>1.26844262295082</v>
      </c>
      <c r="J27" s="7">
        <f ca="1">F27-IFERROR(VLOOKUP($A27,'0520'!$A$1:'0520'!G$48,6,FALSE),IFERROR(VLOOKUP($C27,'0520'!$C$1:'0520'!G$48,4,FALSE),F27-D27))</f>
        <v>3</v>
      </c>
      <c r="K27" s="8">
        <f ca="1">G27-IFERROR(VLOOKUP($A27,'0520'!$A$1:'0520'!H$44,7,FALSE),IFERROR(VLOOKUP($C27,'0520'!$C$1:'0520'!H$44,5,FALSE),G27-E27))</f>
        <v>0</v>
      </c>
      <c r="L27" s="4">
        <f ca="1" t="shared" si="2"/>
        <v>0</v>
      </c>
    </row>
    <row r="28" s="2" customFormat="1" spans="1:13">
      <c r="A28" s="2" t="s">
        <v>73</v>
      </c>
      <c r="B28" s="2" t="s">
        <v>10</v>
      </c>
      <c r="C28" s="9">
        <v>45755</v>
      </c>
      <c r="D28" s="2">
        <v>20</v>
      </c>
      <c r="E28" s="2">
        <v>5</v>
      </c>
      <c r="F28" s="2">
        <v>484</v>
      </c>
      <c r="G28" s="2">
        <v>526</v>
      </c>
      <c r="H28" s="4">
        <f t="shared" si="0"/>
        <v>0.25</v>
      </c>
      <c r="I28" s="4">
        <f t="shared" si="1"/>
        <v>1.08677685950413</v>
      </c>
      <c r="J28" s="7">
        <f ca="1">F28-IFERROR(VLOOKUP($A28,'0520'!$A$1:'0520'!G$48,6,FALSE),IFERROR(VLOOKUP($C28,'0520'!$C$1:'0520'!G$48,4,FALSE),F28-D28))</f>
        <v>3</v>
      </c>
      <c r="K28" s="8">
        <f ca="1">G28-IFERROR(VLOOKUP($A28,'0520'!$A$1:'0520'!H$44,7,FALSE),IFERROR(VLOOKUP($C28,'0520'!$C$1:'0520'!H$44,5,FALSE),G28-E28))</f>
        <v>0</v>
      </c>
      <c r="L28" s="4">
        <f ca="1" t="shared" si="2"/>
        <v>0</v>
      </c>
      <c r="M28" s="2" t="s">
        <v>145</v>
      </c>
    </row>
    <row r="29" s="2" customFormat="1" spans="1:13">
      <c r="A29" s="2" t="s">
        <v>52</v>
      </c>
      <c r="B29" s="2" t="s">
        <v>10</v>
      </c>
      <c r="C29" s="9">
        <v>45743</v>
      </c>
      <c r="D29" s="2">
        <v>122</v>
      </c>
      <c r="E29" s="2">
        <v>45</v>
      </c>
      <c r="F29" s="2">
        <v>5219</v>
      </c>
      <c r="G29" s="2">
        <v>2091</v>
      </c>
      <c r="H29" s="4">
        <f t="shared" si="0"/>
        <v>0.368852459016393</v>
      </c>
      <c r="I29" s="4">
        <f t="shared" si="1"/>
        <v>0.400651465798046</v>
      </c>
      <c r="J29" s="7">
        <f ca="1">F29-IFERROR(VLOOKUP($A29,'0520'!$A$1:'0520'!G$48,6,FALSE),IFERROR(VLOOKUP($C29,'0520'!$C$1:'0520'!G$48,4,FALSE),F29-D29))</f>
        <v>13</v>
      </c>
      <c r="K29" s="8">
        <f ca="1">G29-IFERROR(VLOOKUP($A29,'0520'!$A$1:'0520'!H$44,7,FALSE),IFERROR(VLOOKUP($C29,'0520'!$C$1:'0520'!H$44,5,FALSE),G29-E29))</f>
        <v>0</v>
      </c>
      <c r="L29" s="4">
        <f ca="1" t="shared" si="2"/>
        <v>0</v>
      </c>
      <c r="M29" s="2" t="s">
        <v>53</v>
      </c>
    </row>
    <row r="30" s="2" customFormat="1" spans="1:13">
      <c r="A30" s="2" t="s">
        <v>54</v>
      </c>
      <c r="B30" s="2" t="s">
        <v>10</v>
      </c>
      <c r="C30" s="9">
        <v>45741</v>
      </c>
      <c r="D30" s="2">
        <v>41</v>
      </c>
      <c r="E30" s="2">
        <v>5</v>
      </c>
      <c r="F30" s="2">
        <v>1379</v>
      </c>
      <c r="G30" s="2">
        <v>697</v>
      </c>
      <c r="H30" s="4">
        <f t="shared" si="0"/>
        <v>0.121951219512195</v>
      </c>
      <c r="I30" s="4">
        <f t="shared" si="1"/>
        <v>0.505438723712835</v>
      </c>
      <c r="J30" s="7">
        <f ca="1">F30-IFERROR(VLOOKUP($A30,'0520'!$A$1:'0520'!G$48,6,FALSE),IFERROR(VLOOKUP($C30,'0520'!$C$1:'0520'!G$48,4,FALSE),F30-D30))</f>
        <v>1</v>
      </c>
      <c r="K30" s="8">
        <f ca="1">G30-IFERROR(VLOOKUP($A30,'0520'!$A$1:'0520'!H$44,7,FALSE),IFERROR(VLOOKUP($C30,'0520'!$C$1:'0520'!H$44,5,FALSE),G30-E30))</f>
        <v>0</v>
      </c>
      <c r="L30" s="4">
        <f ca="1" t="shared" si="2"/>
        <v>0</v>
      </c>
      <c r="M30" s="2" t="s">
        <v>135</v>
      </c>
    </row>
    <row r="31" s="2" customFormat="1" spans="1:13">
      <c r="A31" s="2" t="s">
        <v>56</v>
      </c>
      <c r="B31" s="2" t="s">
        <v>10</v>
      </c>
      <c r="C31" s="9">
        <v>45734</v>
      </c>
      <c r="D31" s="2">
        <v>9</v>
      </c>
      <c r="E31" s="2">
        <v>10</v>
      </c>
      <c r="F31" s="2">
        <v>529</v>
      </c>
      <c r="G31" s="2">
        <v>690</v>
      </c>
      <c r="H31" s="4">
        <f t="shared" si="0"/>
        <v>1.11111111111111</v>
      </c>
      <c r="I31" s="4">
        <f t="shared" si="1"/>
        <v>1.30434782608696</v>
      </c>
      <c r="J31" s="7">
        <f ca="1">F31-IFERROR(VLOOKUP($A31,'0520'!$A$1:'0520'!G$48,6,FALSE),IFERROR(VLOOKUP($C31,'0520'!$C$1:'0520'!G$48,4,FALSE),F31-D31))</f>
        <v>9</v>
      </c>
      <c r="K31" s="8">
        <f ca="1">G31-IFERROR(VLOOKUP($A31,'0520'!$A$1:'0520'!H$44,7,FALSE),IFERROR(VLOOKUP($C31,'0520'!$C$1:'0520'!H$44,5,FALSE),G31-E31))</f>
        <v>10</v>
      </c>
      <c r="L31" s="4">
        <f ca="1" t="shared" si="2"/>
        <v>1.11111111111111</v>
      </c>
      <c r="M31" s="2" t="s">
        <v>147</v>
      </c>
    </row>
    <row r="32" s="2" customFormat="1" spans="1:14">
      <c r="A32" s="2" t="s">
        <v>98</v>
      </c>
      <c r="B32" s="2" t="s">
        <v>10</v>
      </c>
      <c r="C32" s="9">
        <v>45731</v>
      </c>
      <c r="D32" s="2">
        <v>25</v>
      </c>
      <c r="E32" s="2">
        <v>31</v>
      </c>
      <c r="F32" s="2">
        <v>340</v>
      </c>
      <c r="G32" s="2">
        <v>753</v>
      </c>
      <c r="H32" s="4">
        <f t="shared" si="0"/>
        <v>1.24</v>
      </c>
      <c r="I32" s="4">
        <f t="shared" si="1"/>
        <v>2.21470588235294</v>
      </c>
      <c r="J32" s="7">
        <f ca="1">F32-IFERROR(VLOOKUP($A32,'0520'!$A$1:'0520'!G$48,6,FALSE),IFERROR(VLOOKUP($C32,'0520'!$C$1:'0520'!G$48,4,FALSE),F32-D32))</f>
        <v>3</v>
      </c>
      <c r="K32" s="8">
        <f ca="1">G32-IFERROR(VLOOKUP($A32,'0520'!$A$1:'0520'!H$44,7,FALSE),IFERROR(VLOOKUP($C32,'0520'!$C$1:'0520'!H$44,5,FALSE),G32-E32))</f>
        <v>0</v>
      </c>
      <c r="L32" s="4">
        <f ca="1" t="shared" si="2"/>
        <v>0</v>
      </c>
      <c r="M32" s="2" t="s">
        <v>99</v>
      </c>
      <c r="N32" s="2" t="s">
        <v>100</v>
      </c>
    </row>
    <row r="33" s="2" customFormat="1" spans="1:13">
      <c r="A33" s="2" t="s">
        <v>58</v>
      </c>
      <c r="B33" s="2" t="s">
        <v>10</v>
      </c>
      <c r="C33" s="9">
        <v>45719</v>
      </c>
      <c r="D33" s="2">
        <v>11</v>
      </c>
      <c r="E33" s="2">
        <v>5</v>
      </c>
      <c r="F33" s="2">
        <v>395</v>
      </c>
      <c r="G33" s="2">
        <v>662</v>
      </c>
      <c r="H33" s="4">
        <f t="shared" si="0"/>
        <v>0.454545454545455</v>
      </c>
      <c r="I33" s="4">
        <f t="shared" si="1"/>
        <v>1.67594936708861</v>
      </c>
      <c r="J33" s="7">
        <f ca="1">F33-IFERROR(VLOOKUP($A33,'0520'!$A$1:'0520'!G$48,6,FALSE),IFERROR(VLOOKUP($C33,'0520'!$C$1:'0520'!G$48,4,FALSE),F33-D33))</f>
        <v>0</v>
      </c>
      <c r="K33" s="8">
        <f ca="1">G33-IFERROR(VLOOKUP($A33,'0520'!$A$1:'0520'!H$44,7,FALSE),IFERROR(VLOOKUP($C33,'0520'!$C$1:'0520'!H$44,5,FALSE),G33-E33))</f>
        <v>0</v>
      </c>
      <c r="L33" s="4">
        <f ca="1" t="shared" si="2"/>
        <v>0</v>
      </c>
      <c r="M33" s="2" t="s">
        <v>122</v>
      </c>
    </row>
    <row r="34" s="2" customFormat="1" spans="1:13">
      <c r="A34" s="2" t="s">
        <v>123</v>
      </c>
      <c r="B34" s="2" t="s">
        <v>10</v>
      </c>
      <c r="C34" s="9">
        <v>45685</v>
      </c>
      <c r="D34" s="2">
        <v>52</v>
      </c>
      <c r="E34" s="2">
        <v>6</v>
      </c>
      <c r="F34" s="2">
        <v>169</v>
      </c>
      <c r="G34" s="2">
        <v>524</v>
      </c>
      <c r="H34" s="4">
        <f t="shared" si="0"/>
        <v>0.115384615384615</v>
      </c>
      <c r="I34" s="4">
        <f t="shared" si="1"/>
        <v>3.10059171597633</v>
      </c>
      <c r="J34" s="7">
        <f ca="1">F34-IFERROR(VLOOKUP($A34,'0520'!$A$1:'0520'!G$48,6,FALSE),IFERROR(VLOOKUP($C34,'0520'!$C$1:'0520'!G$48,4,FALSE),F34-D34))</f>
        <v>11</v>
      </c>
      <c r="K34" s="8">
        <f ca="1">G34-IFERROR(VLOOKUP($A34,'0520'!$A$1:'0520'!H$44,7,FALSE),IFERROR(VLOOKUP($C34,'0520'!$C$1:'0520'!H$44,5,FALSE),G34-E34))</f>
        <v>0</v>
      </c>
      <c r="L34" s="4">
        <f ca="1" t="shared" si="2"/>
        <v>0</v>
      </c>
      <c r="M34" s="2" t="s">
        <v>124</v>
      </c>
    </row>
    <row r="35" s="2" customFormat="1" spans="1:13">
      <c r="A35" s="2" t="s">
        <v>125</v>
      </c>
      <c r="B35" s="2" t="s">
        <v>10</v>
      </c>
      <c r="C35" s="9">
        <v>45626</v>
      </c>
      <c r="D35" s="2">
        <v>18</v>
      </c>
      <c r="E35" s="2">
        <v>6</v>
      </c>
      <c r="F35" s="2">
        <v>216</v>
      </c>
      <c r="G35" s="2">
        <v>519</v>
      </c>
      <c r="H35" s="4">
        <f t="shared" si="0"/>
        <v>0.333333333333333</v>
      </c>
      <c r="I35" s="4">
        <f t="shared" si="1"/>
        <v>2.40277777777778</v>
      </c>
      <c r="J35" s="7">
        <f ca="1">F35-IFERROR(VLOOKUP($A35,'0520'!$A$1:'0520'!G$48,6,FALSE),IFERROR(VLOOKUP($C35,'0520'!$C$1:'0520'!G$48,4,FALSE),F35-D35))</f>
        <v>0</v>
      </c>
      <c r="K35" s="8">
        <f ca="1">G35-IFERROR(VLOOKUP($A35,'0520'!$A$1:'0520'!H$44,7,FALSE),IFERROR(VLOOKUP($C35,'0520'!$C$1:'0520'!H$44,5,FALSE),G35-E35))</f>
        <v>0</v>
      </c>
      <c r="L35" s="4">
        <f ca="1" t="shared" si="2"/>
        <v>0</v>
      </c>
      <c r="M35" s="2" t="s">
        <v>126</v>
      </c>
    </row>
    <row r="36" s="2" customFormat="1" spans="1:13">
      <c r="A36" s="2" t="s">
        <v>136</v>
      </c>
      <c r="B36" s="2" t="s">
        <v>10</v>
      </c>
      <c r="C36" s="9">
        <v>45609</v>
      </c>
      <c r="D36" s="2">
        <v>23</v>
      </c>
      <c r="E36" s="2">
        <v>1</v>
      </c>
      <c r="F36" s="2">
        <v>2611</v>
      </c>
      <c r="G36" s="2">
        <v>890</v>
      </c>
      <c r="H36" s="4">
        <f t="shared" si="0"/>
        <v>0.0434782608695652</v>
      </c>
      <c r="I36" s="4">
        <f t="shared" si="1"/>
        <v>0.340865568747606</v>
      </c>
      <c r="J36" s="7">
        <f ca="1">F36-IFERROR(VLOOKUP($A36,'0520'!$A$1:'0520'!G$48,6,FALSE),IFERROR(VLOOKUP($C36,'0520'!$C$1:'0520'!G$48,4,FALSE),F36-D36))</f>
        <v>5</v>
      </c>
      <c r="K36" s="8">
        <f ca="1">G36-IFERROR(VLOOKUP($A36,'0520'!$A$1:'0520'!H$44,7,FALSE),IFERROR(VLOOKUP($C36,'0520'!$C$1:'0520'!H$44,5,FALSE),G36-E36))</f>
        <v>0</v>
      </c>
      <c r="L36" s="4">
        <f ca="1" t="shared" si="2"/>
        <v>0</v>
      </c>
      <c r="M36" s="2" t="s">
        <v>137</v>
      </c>
    </row>
    <row r="37" s="2" customFormat="1" spans="1:13">
      <c r="A37" s="2" t="s">
        <v>127</v>
      </c>
      <c r="B37" s="2" t="s">
        <v>10</v>
      </c>
      <c r="C37" s="9">
        <v>45547</v>
      </c>
      <c r="D37" s="2">
        <v>21</v>
      </c>
      <c r="E37" s="2">
        <v>1</v>
      </c>
      <c r="F37" s="2">
        <v>9102</v>
      </c>
      <c r="G37" s="2">
        <v>2509</v>
      </c>
      <c r="H37" s="4">
        <f t="shared" si="0"/>
        <v>0.0476190476190476</v>
      </c>
      <c r="I37" s="4">
        <f t="shared" si="1"/>
        <v>0.275653702482971</v>
      </c>
      <c r="J37" s="7">
        <f ca="1">F37-IFERROR(VLOOKUP($A37,'0520'!$A$1:'0520'!G$48,6,FALSE),IFERROR(VLOOKUP($C37,'0520'!$C$1:'0520'!G$48,4,FALSE),F37-D37))</f>
        <v>2</v>
      </c>
      <c r="K37" s="8">
        <f ca="1">G37-IFERROR(VLOOKUP($A37,'0520'!$A$1:'0520'!H$44,7,FALSE),IFERROR(VLOOKUP($C37,'0520'!$C$1:'0520'!H$44,5,FALSE),G37-E37))</f>
        <v>0</v>
      </c>
      <c r="L37" s="4">
        <f ca="1" t="shared" si="2"/>
        <v>0</v>
      </c>
      <c r="M37" s="2" t="s">
        <v>128</v>
      </c>
    </row>
    <row r="38" spans="11:11">
      <c r="K38" s="2">
        <f ca="1">SUM(K2:K37)</f>
        <v>958</v>
      </c>
    </row>
    <row r="46" spans="8:12">
      <c r="H46" s="10">
        <v>2.08823529411765</v>
      </c>
      <c r="I46" s="10">
        <v>6.54054054054054</v>
      </c>
      <c r="J46" s="11">
        <v>2</v>
      </c>
      <c r="K46" s="11">
        <v>0</v>
      </c>
      <c r="L46" s="10">
        <v>0</v>
      </c>
    </row>
    <row r="48" spans="13:14">
      <c r="M48" s="12" t="s">
        <v>139</v>
      </c>
      <c r="N48" s="12" t="s">
        <v>140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5"/>
  <sheetViews>
    <sheetView topLeftCell="A7" workbookViewId="0">
      <selection activeCell="A11" sqref="$A11:$XFD11"/>
    </sheetView>
  </sheetViews>
  <sheetFormatPr defaultColWidth="10" defaultRowHeight="14.4"/>
  <cols>
    <col min="1" max="1" width="49.7777777777778" style="2" customWidth="1"/>
    <col min="2" max="2" width="10" style="2" hidden="1" customWidth="1"/>
    <col min="3" max="3" width="10.7777777777778" style="2" customWidth="1"/>
    <col min="4" max="7" width="5.66666666666667" style="2" customWidth="1"/>
    <col min="8" max="9" width="6.77777777777778" style="2" customWidth="1"/>
    <col min="10" max="10" width="7.66666666666667" style="2" customWidth="1"/>
    <col min="11" max="12" width="6.77777777777778" style="2" customWidth="1"/>
    <col min="13" max="13" width="18.6666666666667" style="2" customWidth="1"/>
    <col min="14" max="14" width="19.6666666666667" style="2" customWidth="1"/>
    <col min="15" max="16384" width="10" style="2"/>
  </cols>
  <sheetData>
    <row r="1" s="2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J1" s="5" t="s">
        <v>7</v>
      </c>
      <c r="K1" s="5" t="s">
        <v>8</v>
      </c>
    </row>
    <row r="2" s="2" customFormat="1" spans="1:12">
      <c r="A2" s="2" t="s">
        <v>148</v>
      </c>
      <c r="B2" s="2" t="s">
        <v>10</v>
      </c>
      <c r="C2" s="9">
        <v>45798</v>
      </c>
      <c r="D2" s="2">
        <v>85</v>
      </c>
      <c r="E2" s="2">
        <v>68</v>
      </c>
      <c r="F2" s="2">
        <v>85</v>
      </c>
      <c r="G2" s="2">
        <v>68</v>
      </c>
      <c r="H2" s="4">
        <f t="shared" ref="H2:H37" si="0">E2/D2</f>
        <v>0.8</v>
      </c>
      <c r="I2" s="4">
        <f t="shared" ref="I2:I37" si="1">G2/F2</f>
        <v>0.8</v>
      </c>
      <c r="J2" s="7">
        <f ca="1">F2-IFERROR(VLOOKUP($A2,'0521'!$A$1:'0521'!G$48,6,FALSE),IFERROR(VLOOKUP($C2,'0521'!$C$1:'0521'!G$48,4,FALSE),F2-D2))</f>
        <v>85</v>
      </c>
      <c r="K2" s="8">
        <f ca="1">G2-IFERROR(VLOOKUP($A2,'0521'!$A$1:'0521'!H$44,7,FALSE),IFERROR(VLOOKUP($C2,'0521'!$C$1:'0521'!H$44,5,FALSE),G2-E2))</f>
        <v>68</v>
      </c>
      <c r="L2" s="4">
        <f ca="1" t="shared" ref="L2:L37" si="2">IFERROR(K2/J2,)</f>
        <v>0.8</v>
      </c>
    </row>
    <row r="3" s="2" customFormat="1" spans="1:12">
      <c r="A3" s="2" t="s">
        <v>149</v>
      </c>
      <c r="B3" s="2" t="s">
        <v>10</v>
      </c>
      <c r="C3" s="9">
        <v>45798</v>
      </c>
      <c r="D3" s="2">
        <v>137</v>
      </c>
      <c r="E3" s="2">
        <v>187</v>
      </c>
      <c r="F3" s="2">
        <v>137</v>
      </c>
      <c r="G3" s="2">
        <v>187</v>
      </c>
      <c r="H3" s="4">
        <f t="shared" si="0"/>
        <v>1.36496350364964</v>
      </c>
      <c r="I3" s="4">
        <f t="shared" si="1"/>
        <v>1.36496350364964</v>
      </c>
      <c r="J3" s="7">
        <f ca="1">F3-IFERROR(VLOOKUP($A3,'0521'!$A$1:'0521'!G$48,6,FALSE),IFERROR(VLOOKUP($C3,'0521'!$C$1:'0521'!G$48,4,FALSE),F3-D3))</f>
        <v>137</v>
      </c>
      <c r="K3" s="8">
        <f ca="1">G3-IFERROR(VLOOKUP($A3,'0521'!$A$1:'0521'!H$44,7,FALSE),IFERROR(VLOOKUP($C3,'0521'!$C$1:'0521'!H$44,5,FALSE),G3-E3))</f>
        <v>187</v>
      </c>
      <c r="L3" s="4">
        <f ca="1" t="shared" si="2"/>
        <v>1.36496350364964</v>
      </c>
    </row>
    <row r="4" s="2" customFormat="1" spans="1:12">
      <c r="A4" s="2" t="s">
        <v>146</v>
      </c>
      <c r="B4" s="2" t="s">
        <v>10</v>
      </c>
      <c r="C4" s="9">
        <v>45797</v>
      </c>
      <c r="D4" s="2">
        <v>115</v>
      </c>
      <c r="E4" s="2">
        <v>288</v>
      </c>
      <c r="F4" s="2">
        <v>115</v>
      </c>
      <c r="G4" s="2">
        <v>288</v>
      </c>
      <c r="H4" s="4">
        <f t="shared" si="0"/>
        <v>2.50434782608696</v>
      </c>
      <c r="I4" s="4">
        <f t="shared" si="1"/>
        <v>2.50434782608696</v>
      </c>
      <c r="J4" s="7">
        <f ca="1">F4-IFERROR(VLOOKUP($A4,'0521'!$A$1:'0521'!G$48,6,FALSE),IFERROR(VLOOKUP($C4,'0521'!$C$1:'0521'!G$48,4,FALSE),F4-D4))</f>
        <v>38</v>
      </c>
      <c r="K4" s="8">
        <f ca="1">G4-IFERROR(VLOOKUP($A4,'0521'!$A$1:'0521'!H$44,7,FALSE),IFERROR(VLOOKUP($C4,'0521'!$C$1:'0521'!H$44,5,FALSE),G4-E4))</f>
        <v>97</v>
      </c>
      <c r="L4" s="4">
        <f ca="1" t="shared" si="2"/>
        <v>2.55263157894737</v>
      </c>
    </row>
    <row r="5" s="2" customFormat="1" spans="1:12">
      <c r="A5" s="2" t="s">
        <v>142</v>
      </c>
      <c r="B5" s="2" t="s">
        <v>10</v>
      </c>
      <c r="C5" s="9">
        <v>45796</v>
      </c>
      <c r="D5" s="2">
        <v>123</v>
      </c>
      <c r="E5" s="2">
        <v>272</v>
      </c>
      <c r="F5" s="2">
        <v>123</v>
      </c>
      <c r="G5" s="2">
        <v>272</v>
      </c>
      <c r="H5" s="4">
        <f t="shared" si="0"/>
        <v>2.21138211382114</v>
      </c>
      <c r="I5" s="4">
        <f t="shared" si="1"/>
        <v>2.21138211382114</v>
      </c>
      <c r="J5" s="7">
        <f ca="1">F5-IFERROR(VLOOKUP($A5,'0521'!$A$1:'0521'!G$48,6,FALSE),IFERROR(VLOOKUP($C5,'0521'!$C$1:'0521'!G$48,4,FALSE),F5-D5))</f>
        <v>22</v>
      </c>
      <c r="K5" s="8">
        <f ca="1">G5-IFERROR(VLOOKUP($A5,'0521'!$A$1:'0521'!H$44,7,FALSE),IFERROR(VLOOKUP($C5,'0521'!$C$1:'0521'!H$44,5,FALSE),G5-E5))</f>
        <v>25</v>
      </c>
      <c r="L5" s="4">
        <f ca="1" t="shared" si="2"/>
        <v>1.13636363636364</v>
      </c>
    </row>
    <row r="6" s="2" customFormat="1" spans="1:12">
      <c r="A6" s="2" t="s">
        <v>132</v>
      </c>
      <c r="B6" s="2" t="s">
        <v>10</v>
      </c>
      <c r="C6" s="9">
        <v>45795</v>
      </c>
      <c r="D6" s="2">
        <v>179</v>
      </c>
      <c r="E6" s="2">
        <v>199</v>
      </c>
      <c r="F6" s="2">
        <v>179</v>
      </c>
      <c r="G6" s="2">
        <v>199</v>
      </c>
      <c r="H6" s="4">
        <f t="shared" si="0"/>
        <v>1.11173184357542</v>
      </c>
      <c r="I6" s="4">
        <f t="shared" si="1"/>
        <v>1.11173184357542</v>
      </c>
      <c r="J6" s="7">
        <f ca="1">F6-IFERROR(VLOOKUP($A6,'0521'!$A$1:'0521'!G$48,6,FALSE),IFERROR(VLOOKUP($C6,'0521'!$C$1:'0521'!G$48,4,FALSE),F6-D6))</f>
        <v>30</v>
      </c>
      <c r="K6" s="8">
        <f ca="1">G6-IFERROR(VLOOKUP($A6,'0521'!$A$1:'0521'!H$44,7,FALSE),IFERROR(VLOOKUP($C6,'0521'!$C$1:'0521'!H$44,5,FALSE),G6-E6))</f>
        <v>4</v>
      </c>
      <c r="L6" s="4">
        <f ca="1" t="shared" si="2"/>
        <v>0.133333333333333</v>
      </c>
    </row>
    <row r="7" s="2" customFormat="1" spans="1:13">
      <c r="A7" s="2" t="s">
        <v>129</v>
      </c>
      <c r="B7" s="2" t="s">
        <v>10</v>
      </c>
      <c r="C7" s="9">
        <v>45794</v>
      </c>
      <c r="D7" s="2">
        <v>199</v>
      </c>
      <c r="E7" s="2">
        <v>286</v>
      </c>
      <c r="F7" s="2">
        <v>199</v>
      </c>
      <c r="G7" s="2">
        <v>286</v>
      </c>
      <c r="H7" s="4">
        <f t="shared" si="0"/>
        <v>1.43718592964824</v>
      </c>
      <c r="I7" s="4">
        <f t="shared" si="1"/>
        <v>1.43718592964824</v>
      </c>
      <c r="J7" s="7">
        <f ca="1">F7-IFERROR(VLOOKUP($A7,'0521'!$A$1:'0521'!G$48,6,FALSE),IFERROR(VLOOKUP($C7,'0521'!$C$1:'0521'!G$48,4,FALSE),F7-D7))</f>
        <v>0</v>
      </c>
      <c r="K7" s="8">
        <f ca="1">G7-IFERROR(VLOOKUP($A7,'0521'!$A$1:'0521'!H$44,7,FALSE),IFERROR(VLOOKUP($C7,'0521'!$C$1:'0521'!H$44,5,FALSE),G7-E7))</f>
        <v>0</v>
      </c>
      <c r="L7" s="4">
        <f ca="1" t="shared" si="2"/>
        <v>0</v>
      </c>
      <c r="M7" s="2" t="s">
        <v>143</v>
      </c>
    </row>
    <row r="8" s="2" customFormat="1" spans="1:12">
      <c r="A8" s="2" t="s">
        <v>130</v>
      </c>
      <c r="B8" s="2" t="s">
        <v>10</v>
      </c>
      <c r="C8" s="9">
        <v>45794</v>
      </c>
      <c r="D8" s="2">
        <v>12065</v>
      </c>
      <c r="E8" s="2">
        <v>4710</v>
      </c>
      <c r="F8" s="2">
        <v>12065</v>
      </c>
      <c r="G8" s="2">
        <v>4710</v>
      </c>
      <c r="H8" s="4">
        <f t="shared" si="0"/>
        <v>0.390385412349772</v>
      </c>
      <c r="I8" s="4">
        <f t="shared" si="1"/>
        <v>0.390385412349772</v>
      </c>
      <c r="J8" s="7">
        <f ca="1">F8-IFERROR(VLOOKUP($A8,'0521'!$A$1:'0521'!G$48,6,FALSE),IFERROR(VLOOKUP($C8,'0521'!$C$1:'0521'!G$48,4,FALSE),F8-D8))</f>
        <v>9457</v>
      </c>
      <c r="K8" s="8">
        <f ca="1">G8-IFERROR(VLOOKUP($A8,'0521'!$A$1:'0521'!H$44,7,FALSE),IFERROR(VLOOKUP($C8,'0521'!$C$1:'0521'!H$44,5,FALSE),G8-E8))</f>
        <v>3348</v>
      </c>
      <c r="L8" s="4">
        <f ca="1" t="shared" si="2"/>
        <v>0.354023474674844</v>
      </c>
    </row>
    <row r="9" s="2" customFormat="1" spans="1:12">
      <c r="A9" s="2" t="s">
        <v>120</v>
      </c>
      <c r="B9" s="2" t="s">
        <v>10</v>
      </c>
      <c r="C9" s="9">
        <v>45793</v>
      </c>
      <c r="D9" s="2">
        <v>226</v>
      </c>
      <c r="E9" s="2">
        <v>448</v>
      </c>
      <c r="F9" s="2">
        <v>226</v>
      </c>
      <c r="G9" s="2">
        <v>448</v>
      </c>
      <c r="H9" s="4">
        <f t="shared" si="0"/>
        <v>1.98230088495575</v>
      </c>
      <c r="I9" s="4">
        <f t="shared" si="1"/>
        <v>1.98230088495575</v>
      </c>
      <c r="J9" s="7">
        <f ca="1">F9-IFERROR(VLOOKUP($A9,'0521'!$A$1:'0521'!G$48,6,FALSE),IFERROR(VLOOKUP($C9,'0521'!$C$1:'0521'!G$48,4,FALSE),F9-D9))</f>
        <v>6</v>
      </c>
      <c r="K9" s="8">
        <f ca="1">G9-IFERROR(VLOOKUP($A9,'0521'!$A$1:'0521'!H$44,7,FALSE),IFERROR(VLOOKUP($C9,'0521'!$C$1:'0521'!H$44,5,FALSE),G9-E9))</f>
        <v>0</v>
      </c>
      <c r="L9" s="4">
        <f ca="1" t="shared" si="2"/>
        <v>0</v>
      </c>
    </row>
    <row r="10" s="2" customFormat="1" spans="1:12">
      <c r="A10" s="2" t="s">
        <v>121</v>
      </c>
      <c r="B10" s="2" t="s">
        <v>10</v>
      </c>
      <c r="C10" s="9">
        <v>45793</v>
      </c>
      <c r="D10" s="2">
        <v>168</v>
      </c>
      <c r="E10" s="2">
        <v>207</v>
      </c>
      <c r="F10" s="2">
        <v>168</v>
      </c>
      <c r="G10" s="2">
        <v>207</v>
      </c>
      <c r="H10" s="4">
        <f t="shared" si="0"/>
        <v>1.23214285714286</v>
      </c>
      <c r="I10" s="4">
        <f t="shared" si="1"/>
        <v>1.23214285714286</v>
      </c>
      <c r="J10" s="7">
        <f ca="1">F10-IFERROR(VLOOKUP($A10,'0521'!$A$1:'0521'!G$48,6,FALSE),IFERROR(VLOOKUP($C10,'0521'!$C$1:'0521'!G$48,4,FALSE),F10-D10))</f>
        <v>17</v>
      </c>
      <c r="K10" s="8">
        <f ca="1">G10-IFERROR(VLOOKUP($A10,'0521'!$A$1:'0521'!H$44,7,FALSE),IFERROR(VLOOKUP($C10,'0521'!$C$1:'0521'!H$44,5,FALSE),G10-E10))</f>
        <v>0</v>
      </c>
      <c r="L10" s="4">
        <f ca="1" t="shared" si="2"/>
        <v>0</v>
      </c>
    </row>
    <row r="11" s="2" customFormat="1" spans="1:12">
      <c r="A11" s="2" t="s">
        <v>115</v>
      </c>
      <c r="B11" s="2" t="s">
        <v>10</v>
      </c>
      <c r="C11" s="9">
        <v>45792</v>
      </c>
      <c r="D11" s="2">
        <v>236</v>
      </c>
      <c r="E11" s="2">
        <v>226</v>
      </c>
      <c r="F11" s="2">
        <v>236</v>
      </c>
      <c r="G11" s="2">
        <v>226</v>
      </c>
      <c r="H11" s="4">
        <f t="shared" si="0"/>
        <v>0.957627118644068</v>
      </c>
      <c r="I11" s="4">
        <f t="shared" si="1"/>
        <v>0.957627118644068</v>
      </c>
      <c r="J11" s="7">
        <f ca="1">F11-IFERROR(VLOOKUP($A11,'0521'!$A$1:'0521'!G$48,6,FALSE),IFERROR(VLOOKUP($C11,'0521'!$C$1:'0521'!G$48,4,FALSE),F11-D11))</f>
        <v>4</v>
      </c>
      <c r="K11" s="8">
        <f ca="1">G11-IFERROR(VLOOKUP($A11,'0521'!$A$1:'0521'!H$44,7,FALSE),IFERROR(VLOOKUP($C11,'0521'!$C$1:'0521'!H$44,5,FALSE),G11-E11))</f>
        <v>0</v>
      </c>
      <c r="L11" s="4">
        <f ca="1" t="shared" si="2"/>
        <v>0</v>
      </c>
    </row>
    <row r="12" s="2" customFormat="1" spans="1:13">
      <c r="A12" s="2" t="s">
        <v>116</v>
      </c>
      <c r="B12" s="2" t="s">
        <v>10</v>
      </c>
      <c r="C12" s="9">
        <v>45792</v>
      </c>
      <c r="D12" s="2">
        <v>160</v>
      </c>
      <c r="E12" s="2">
        <v>626</v>
      </c>
      <c r="F12" s="2">
        <v>160</v>
      </c>
      <c r="G12" s="2">
        <v>626</v>
      </c>
      <c r="H12" s="4">
        <f t="shared" si="0"/>
        <v>3.9125</v>
      </c>
      <c r="I12" s="4">
        <f t="shared" si="1"/>
        <v>3.9125</v>
      </c>
      <c r="J12" s="7">
        <f ca="1">F12-IFERROR(VLOOKUP($A12,'0521'!$A$1:'0521'!G$48,6,FALSE),IFERROR(VLOOKUP($C12,'0521'!$C$1:'0521'!G$48,4,FALSE),F12-D12))</f>
        <v>14</v>
      </c>
      <c r="K12" s="8">
        <f ca="1">G12-IFERROR(VLOOKUP($A12,'0521'!$A$1:'0521'!H$44,7,FALSE),IFERROR(VLOOKUP($C12,'0521'!$C$1:'0521'!H$44,5,FALSE),G12-E12))</f>
        <v>107</v>
      </c>
      <c r="L12" s="4">
        <f ca="1" t="shared" si="2"/>
        <v>7.64285714285714</v>
      </c>
      <c r="M12" s="2" t="s">
        <v>133</v>
      </c>
    </row>
    <row r="13" s="2" customFormat="1" spans="1:12">
      <c r="A13" s="2" t="s">
        <v>112</v>
      </c>
      <c r="B13" s="2" t="s">
        <v>10</v>
      </c>
      <c r="C13" s="9">
        <v>45791</v>
      </c>
      <c r="D13" s="2">
        <v>178</v>
      </c>
      <c r="E13" s="2">
        <v>46</v>
      </c>
      <c r="F13" s="2">
        <v>307</v>
      </c>
      <c r="G13" s="2">
        <v>177</v>
      </c>
      <c r="H13" s="4">
        <f t="shared" si="0"/>
        <v>0.258426966292135</v>
      </c>
      <c r="I13" s="4">
        <f t="shared" si="1"/>
        <v>0.576547231270358</v>
      </c>
      <c r="J13" s="7">
        <f ca="1">F13-IFERROR(VLOOKUP($A13,'0521'!$A$1:'0521'!G$48,6,FALSE),IFERROR(VLOOKUP($C13,'0521'!$C$1:'0521'!G$48,4,FALSE),F13-D13))</f>
        <v>7</v>
      </c>
      <c r="K13" s="8">
        <f ca="1">G13-IFERROR(VLOOKUP($A13,'0521'!$A$1:'0521'!H$44,7,FALSE),IFERROR(VLOOKUP($C13,'0521'!$C$1:'0521'!H$44,5,FALSE),G13-E13))</f>
        <v>0</v>
      </c>
      <c r="L13" s="4">
        <f ca="1" t="shared" si="2"/>
        <v>0</v>
      </c>
    </row>
    <row r="14" s="2" customFormat="1" spans="1:12">
      <c r="A14" s="2" t="s">
        <v>113</v>
      </c>
      <c r="B14" s="2" t="s">
        <v>10</v>
      </c>
      <c r="C14" s="9">
        <v>45791</v>
      </c>
      <c r="D14" s="2">
        <v>118</v>
      </c>
      <c r="E14" s="2">
        <v>55</v>
      </c>
      <c r="F14" s="2">
        <v>285</v>
      </c>
      <c r="G14" s="2">
        <v>264</v>
      </c>
      <c r="H14" s="4">
        <f t="shared" si="0"/>
        <v>0.466101694915254</v>
      </c>
      <c r="I14" s="4">
        <f t="shared" si="1"/>
        <v>0.926315789473684</v>
      </c>
      <c r="J14" s="7">
        <f ca="1">F14-IFERROR(VLOOKUP($A14,'0521'!$A$1:'0521'!G$48,6,FALSE),IFERROR(VLOOKUP($C14,'0521'!$C$1:'0521'!G$48,4,FALSE),F14-D14))</f>
        <v>11</v>
      </c>
      <c r="K14" s="8">
        <f ca="1">G14-IFERROR(VLOOKUP($A14,'0521'!$A$1:'0521'!H$44,7,FALSE),IFERROR(VLOOKUP($C14,'0521'!$C$1:'0521'!H$44,5,FALSE),G14-E14))</f>
        <v>0</v>
      </c>
      <c r="L14" s="4">
        <f ca="1" t="shared" si="2"/>
        <v>0</v>
      </c>
    </row>
    <row r="15" s="2" customFormat="1" spans="1:12">
      <c r="A15" s="2" t="s">
        <v>107</v>
      </c>
      <c r="B15" s="2" t="s">
        <v>10</v>
      </c>
      <c r="C15" s="9">
        <v>45790</v>
      </c>
      <c r="D15" s="2">
        <v>74</v>
      </c>
      <c r="E15" s="2">
        <v>18</v>
      </c>
      <c r="F15" s="2">
        <v>334</v>
      </c>
      <c r="G15" s="2">
        <v>306</v>
      </c>
      <c r="H15" s="4">
        <f t="shared" si="0"/>
        <v>0.243243243243243</v>
      </c>
      <c r="I15" s="4">
        <f t="shared" si="1"/>
        <v>0.916167664670659</v>
      </c>
      <c r="J15" s="7">
        <f ca="1">F15-IFERROR(VLOOKUP($A15,'0521'!$A$1:'0521'!G$48,6,FALSE),IFERROR(VLOOKUP($C15,'0521'!$C$1:'0521'!G$48,4,FALSE),F15-D15))</f>
        <v>1</v>
      </c>
      <c r="K15" s="8">
        <f ca="1">G15-IFERROR(VLOOKUP($A15,'0521'!$A$1:'0521'!H$44,7,FALSE),IFERROR(VLOOKUP($C15,'0521'!$C$1:'0521'!H$44,5,FALSE),G15-E15))</f>
        <v>0</v>
      </c>
      <c r="L15" s="4">
        <f ca="1" t="shared" si="2"/>
        <v>0</v>
      </c>
    </row>
    <row r="16" s="2" customFormat="1" spans="1:13">
      <c r="A16" s="2" t="s">
        <v>108</v>
      </c>
      <c r="B16" s="2" t="s">
        <v>10</v>
      </c>
      <c r="C16" s="9">
        <v>45790</v>
      </c>
      <c r="D16" s="2">
        <v>5342</v>
      </c>
      <c r="E16" s="2">
        <v>735</v>
      </c>
      <c r="F16" s="2">
        <v>5499</v>
      </c>
      <c r="G16" s="2">
        <v>1217</v>
      </c>
      <c r="H16" s="4">
        <f t="shared" si="0"/>
        <v>0.137588918008237</v>
      </c>
      <c r="I16" s="4">
        <f t="shared" si="1"/>
        <v>0.221312965993817</v>
      </c>
      <c r="J16" s="7">
        <f ca="1">F16-IFERROR(VLOOKUP($A16,'0521'!$A$1:'0521'!G$48,6,FALSE),IFERROR(VLOOKUP($C16,'0521'!$C$1:'0521'!G$48,4,FALSE),F16-D16))</f>
        <v>2</v>
      </c>
      <c r="K16" s="8">
        <f ca="1">G16-IFERROR(VLOOKUP($A16,'0521'!$A$1:'0521'!H$44,7,FALSE),IFERROR(VLOOKUP($C16,'0521'!$C$1:'0521'!H$44,5,FALSE),G16-E16))</f>
        <v>0</v>
      </c>
      <c r="L16" s="4">
        <f ca="1" t="shared" si="2"/>
        <v>0</v>
      </c>
      <c r="M16" s="2" t="s">
        <v>109</v>
      </c>
    </row>
    <row r="17" s="2" customFormat="1" spans="1:13">
      <c r="A17" s="2" t="s">
        <v>105</v>
      </c>
      <c r="B17" s="2" t="s">
        <v>10</v>
      </c>
      <c r="C17" s="9">
        <v>45789</v>
      </c>
      <c r="D17" s="2">
        <v>40</v>
      </c>
      <c r="E17" s="2">
        <v>51</v>
      </c>
      <c r="F17" s="2">
        <v>197</v>
      </c>
      <c r="G17" s="2">
        <v>564</v>
      </c>
      <c r="H17" s="4">
        <f t="shared" si="0"/>
        <v>1.275</v>
      </c>
      <c r="I17" s="4">
        <f t="shared" si="1"/>
        <v>2.86294416243655</v>
      </c>
      <c r="J17" s="7">
        <f ca="1">F17-IFERROR(VLOOKUP($A17,'0521'!$A$1:'0521'!G$48,6,FALSE),IFERROR(VLOOKUP($C17,'0521'!$C$1:'0521'!G$48,4,FALSE),F17-D17))</f>
        <v>3</v>
      </c>
      <c r="K17" s="8">
        <f ca="1">G17-IFERROR(VLOOKUP($A17,'0521'!$A$1:'0521'!H$44,7,FALSE),IFERROR(VLOOKUP($C17,'0521'!$C$1:'0521'!H$44,5,FALSE),G17-E17))</f>
        <v>0</v>
      </c>
      <c r="L17" s="4">
        <f ca="1" t="shared" si="2"/>
        <v>0</v>
      </c>
      <c r="M17" s="2" t="s">
        <v>131</v>
      </c>
    </row>
    <row r="18" s="2" customFormat="1" spans="1:12">
      <c r="A18" s="2" t="s">
        <v>103</v>
      </c>
      <c r="B18" s="2" t="s">
        <v>10</v>
      </c>
      <c r="C18" s="9">
        <v>45788</v>
      </c>
      <c r="D18" s="2">
        <v>56</v>
      </c>
      <c r="E18" s="2">
        <v>6</v>
      </c>
      <c r="F18" s="2">
        <v>319</v>
      </c>
      <c r="G18" s="2">
        <v>674</v>
      </c>
      <c r="H18" s="4">
        <f t="shared" si="0"/>
        <v>0.107142857142857</v>
      </c>
      <c r="I18" s="4">
        <f t="shared" si="1"/>
        <v>2.1128526645768</v>
      </c>
      <c r="J18" s="7">
        <f ca="1">F18-IFERROR(VLOOKUP($A18,'0521'!$A$1:'0521'!G$48,6,FALSE),IFERROR(VLOOKUP($C18,'0521'!$C$1:'0521'!G$48,4,FALSE),F18-D18))</f>
        <v>2</v>
      </c>
      <c r="K18" s="8">
        <f ca="1">G18-IFERROR(VLOOKUP($A18,'0521'!$A$1:'0521'!H$44,7,FALSE),IFERROR(VLOOKUP($C18,'0521'!$C$1:'0521'!H$44,5,FALSE),G18-E18))</f>
        <v>0</v>
      </c>
      <c r="L18" s="4">
        <f ca="1" t="shared" si="2"/>
        <v>0</v>
      </c>
    </row>
    <row r="19" s="2" customFormat="1" spans="1:12">
      <c r="A19" s="2" t="s">
        <v>77</v>
      </c>
      <c r="B19" s="2" t="s">
        <v>10</v>
      </c>
      <c r="C19" s="9">
        <v>45782</v>
      </c>
      <c r="D19" s="2">
        <v>19</v>
      </c>
      <c r="E19" s="2">
        <v>17</v>
      </c>
      <c r="F19" s="2">
        <v>381</v>
      </c>
      <c r="G19" s="2">
        <v>237</v>
      </c>
      <c r="H19" s="4">
        <f t="shared" si="0"/>
        <v>0.894736842105263</v>
      </c>
      <c r="I19" s="4">
        <f t="shared" si="1"/>
        <v>0.622047244094488</v>
      </c>
      <c r="J19" s="7">
        <f ca="1">F19-IFERROR(VLOOKUP($A19,'0521'!$A$1:'0521'!G$48,6,FALSE),IFERROR(VLOOKUP($C19,'0521'!$C$1:'0521'!G$48,4,FALSE),F19-D19))</f>
        <v>6</v>
      </c>
      <c r="K19" s="8">
        <f ca="1">G19-IFERROR(VLOOKUP($A19,'0521'!$A$1:'0521'!H$44,7,FALSE),IFERROR(VLOOKUP($C19,'0521'!$C$1:'0521'!H$44,5,FALSE),G19-E19))</f>
        <v>0</v>
      </c>
      <c r="L19" s="4">
        <f ca="1" t="shared" si="2"/>
        <v>0</v>
      </c>
    </row>
    <row r="20" s="2" customFormat="1" spans="1:12">
      <c r="A20" s="2" t="s">
        <v>72</v>
      </c>
      <c r="B20" s="2" t="s">
        <v>10</v>
      </c>
      <c r="C20" s="9">
        <v>45781</v>
      </c>
      <c r="D20" s="2">
        <v>5</v>
      </c>
      <c r="E20" s="2">
        <v>6</v>
      </c>
      <c r="F20" s="2">
        <v>329</v>
      </c>
      <c r="G20" s="2">
        <v>665</v>
      </c>
      <c r="H20" s="4">
        <f t="shared" si="0"/>
        <v>1.2</v>
      </c>
      <c r="I20" s="4">
        <f t="shared" si="1"/>
        <v>2.02127659574468</v>
      </c>
      <c r="J20" s="7">
        <f ca="1">F20-IFERROR(VLOOKUP($A20,'0521'!$A$1:'0521'!G$48,6,FALSE),IFERROR(VLOOKUP($C20,'0521'!$C$1:'0521'!G$48,4,FALSE),F20-D20))</f>
        <v>0</v>
      </c>
      <c r="K20" s="8">
        <f ca="1">G20-IFERROR(VLOOKUP($A20,'0521'!$A$1:'0521'!H$44,7,FALSE),IFERROR(VLOOKUP($C20,'0521'!$C$1:'0521'!H$44,5,FALSE),G20-E20))</f>
        <v>0</v>
      </c>
      <c r="L20" s="4">
        <f ca="1" t="shared" si="2"/>
        <v>0</v>
      </c>
    </row>
    <row r="21" s="2" customFormat="1" spans="1:12">
      <c r="A21" s="2" t="s">
        <v>134</v>
      </c>
      <c r="B21" s="2" t="s">
        <v>10</v>
      </c>
      <c r="C21" s="9">
        <v>45780</v>
      </c>
      <c r="D21" s="2">
        <v>413</v>
      </c>
      <c r="E21" s="2">
        <v>43</v>
      </c>
      <c r="F21" s="2">
        <v>1676</v>
      </c>
      <c r="G21" s="2">
        <v>586</v>
      </c>
      <c r="H21" s="4">
        <f t="shared" si="0"/>
        <v>0.104116222760291</v>
      </c>
      <c r="I21" s="4">
        <f t="shared" si="1"/>
        <v>0.34964200477327</v>
      </c>
      <c r="J21" s="7">
        <f ca="1">F21-IFERROR(VLOOKUP($A21,'0521'!$A$1:'0521'!G$48,6,FALSE),IFERROR(VLOOKUP($C21,'0521'!$C$1:'0521'!G$48,4,FALSE),F21-D21))</f>
        <v>113</v>
      </c>
      <c r="K21" s="8">
        <f ca="1">G21-IFERROR(VLOOKUP($A21,'0521'!$A$1:'0521'!H$44,7,FALSE),IFERROR(VLOOKUP($C21,'0521'!$C$1:'0521'!H$44,5,FALSE),G21-E21))</f>
        <v>0</v>
      </c>
      <c r="L21" s="4">
        <f ca="1" t="shared" si="2"/>
        <v>0</v>
      </c>
    </row>
    <row r="22" s="2" customFormat="1" spans="1:13">
      <c r="A22" s="2" t="s">
        <v>9</v>
      </c>
      <c r="B22" s="2" t="s">
        <v>10</v>
      </c>
      <c r="C22" s="9">
        <v>45777</v>
      </c>
      <c r="D22" s="2">
        <v>42</v>
      </c>
      <c r="E22" s="2">
        <v>28</v>
      </c>
      <c r="F22" s="2">
        <v>289</v>
      </c>
      <c r="G22" s="2">
        <v>332</v>
      </c>
      <c r="H22" s="4">
        <f t="shared" si="0"/>
        <v>0.666666666666667</v>
      </c>
      <c r="I22" s="4">
        <f t="shared" si="1"/>
        <v>1.14878892733564</v>
      </c>
      <c r="J22" s="7">
        <f ca="1">F22-IFERROR(VLOOKUP($A22,'0521'!$A$1:'0521'!G$48,6,FALSE),IFERROR(VLOOKUP($C22,'0521'!$C$1:'0521'!G$48,4,FALSE),F22-D22))</f>
        <v>0</v>
      </c>
      <c r="K22" s="8">
        <f ca="1">G22-IFERROR(VLOOKUP($A22,'0521'!$A$1:'0521'!H$44,7,FALSE),IFERROR(VLOOKUP($C22,'0521'!$C$1:'0521'!H$44,5,FALSE),G22-E22))</f>
        <v>0</v>
      </c>
      <c r="L22" s="4">
        <f ca="1" t="shared" si="2"/>
        <v>0</v>
      </c>
      <c r="M22" s="2" t="s">
        <v>117</v>
      </c>
    </row>
    <row r="23" s="2" customFormat="1" spans="1:12">
      <c r="A23" s="2" t="s">
        <v>27</v>
      </c>
      <c r="B23" s="2" t="s">
        <v>10</v>
      </c>
      <c r="C23" s="9">
        <v>45769</v>
      </c>
      <c r="D23" s="2">
        <v>39</v>
      </c>
      <c r="E23" s="2">
        <v>7</v>
      </c>
      <c r="F23" s="2">
        <v>672</v>
      </c>
      <c r="G23" s="2">
        <v>369</v>
      </c>
      <c r="H23" s="4">
        <f t="shared" si="0"/>
        <v>0.179487179487179</v>
      </c>
      <c r="I23" s="4">
        <f t="shared" si="1"/>
        <v>0.549107142857143</v>
      </c>
      <c r="J23" s="7">
        <f ca="1">F23-IFERROR(VLOOKUP($A23,'0521'!$A$1:'0521'!G$48,6,FALSE),IFERROR(VLOOKUP($C23,'0521'!$C$1:'0521'!G$48,4,FALSE),F23-D23))</f>
        <v>4</v>
      </c>
      <c r="K23" s="8">
        <f ca="1">G23-IFERROR(VLOOKUP($A23,'0521'!$A$1:'0521'!H$44,7,FALSE),IFERROR(VLOOKUP($C23,'0521'!$C$1:'0521'!H$44,5,FALSE),G23-E23))</f>
        <v>0</v>
      </c>
      <c r="L23" s="4">
        <f ca="1" t="shared" si="2"/>
        <v>0</v>
      </c>
    </row>
    <row r="24" s="2" customFormat="1" spans="1:13">
      <c r="A24" s="2" t="s">
        <v>31</v>
      </c>
      <c r="B24" s="2" t="s">
        <v>10</v>
      </c>
      <c r="C24" s="9">
        <v>45767</v>
      </c>
      <c r="D24" s="2">
        <v>22</v>
      </c>
      <c r="E24" s="2">
        <v>7</v>
      </c>
      <c r="F24" s="2">
        <v>1193</v>
      </c>
      <c r="G24" s="2">
        <v>297</v>
      </c>
      <c r="H24" s="4">
        <f t="shared" si="0"/>
        <v>0.318181818181818</v>
      </c>
      <c r="I24" s="4">
        <f t="shared" si="1"/>
        <v>0.248952221290863</v>
      </c>
      <c r="J24" s="7">
        <f ca="1">F24-IFERROR(VLOOKUP($A24,'0521'!$A$1:'0521'!G$48,6,FALSE),IFERROR(VLOOKUP($C24,'0521'!$C$1:'0521'!G$48,4,FALSE),F24-D24))</f>
        <v>2</v>
      </c>
      <c r="K24" s="8">
        <f ca="1">G24-IFERROR(VLOOKUP($A24,'0521'!$A$1:'0521'!H$44,7,FALSE),IFERROR(VLOOKUP($C24,'0521'!$C$1:'0521'!H$44,5,FALSE),G24-E24))</f>
        <v>0</v>
      </c>
      <c r="L24" s="4">
        <f ca="1" t="shared" si="2"/>
        <v>0</v>
      </c>
      <c r="M24" s="2" t="s">
        <v>144</v>
      </c>
    </row>
    <row r="25" s="2" customFormat="1" spans="1:13">
      <c r="A25" s="2" t="s">
        <v>44</v>
      </c>
      <c r="B25" s="2" t="s">
        <v>10</v>
      </c>
      <c r="C25" s="9">
        <v>45761</v>
      </c>
      <c r="D25" s="2">
        <v>33</v>
      </c>
      <c r="E25" s="2">
        <v>5</v>
      </c>
      <c r="F25" s="2">
        <v>1119</v>
      </c>
      <c r="G25" s="2">
        <v>956</v>
      </c>
      <c r="H25" s="4">
        <f t="shared" si="0"/>
        <v>0.151515151515152</v>
      </c>
      <c r="I25" s="4">
        <f t="shared" si="1"/>
        <v>0.854334226988382</v>
      </c>
      <c r="J25" s="7">
        <f ca="1">F25-IFERROR(VLOOKUP($A25,'0521'!$A$1:'0521'!G$48,6,FALSE),IFERROR(VLOOKUP($C25,'0521'!$C$1:'0521'!G$48,4,FALSE),F25-D25))</f>
        <v>33</v>
      </c>
      <c r="K25" s="8">
        <f ca="1">G25-IFERROR(VLOOKUP($A25,'0521'!$A$1:'0521'!H$44,7,FALSE),IFERROR(VLOOKUP($C25,'0521'!$C$1:'0521'!H$44,5,FALSE),G25-E25))</f>
        <v>5</v>
      </c>
      <c r="L25" s="4">
        <f ca="1" t="shared" si="2"/>
        <v>0.151515151515152</v>
      </c>
      <c r="M25" s="2" t="s">
        <v>150</v>
      </c>
    </row>
    <row r="26" s="2" customFormat="1" spans="1:13">
      <c r="A26" s="2" t="s">
        <v>118</v>
      </c>
      <c r="B26" s="2" t="s">
        <v>10</v>
      </c>
      <c r="C26" s="9">
        <v>45759</v>
      </c>
      <c r="D26" s="2">
        <v>8</v>
      </c>
      <c r="E26" s="2">
        <v>5</v>
      </c>
      <c r="F26" s="2">
        <v>525</v>
      </c>
      <c r="G26" s="2">
        <v>647</v>
      </c>
      <c r="H26" s="4">
        <f t="shared" si="0"/>
        <v>0.625</v>
      </c>
      <c r="I26" s="4">
        <f t="shared" si="1"/>
        <v>1.23238095238095</v>
      </c>
      <c r="J26" s="7">
        <f ca="1">F26-IFERROR(VLOOKUP($A26,'0521'!$A$1:'0521'!G$48,6,FALSE),IFERROR(VLOOKUP($C26,'0521'!$C$1:'0521'!G$48,4,FALSE),F26-D26))</f>
        <v>0</v>
      </c>
      <c r="K26" s="8">
        <f ca="1">G26-IFERROR(VLOOKUP($A26,'0521'!$A$1:'0521'!H$44,7,FALSE),IFERROR(VLOOKUP($C26,'0521'!$C$1:'0521'!H$44,5,FALSE),G26-E26))</f>
        <v>0</v>
      </c>
      <c r="L26" s="4">
        <f ca="1" t="shared" si="2"/>
        <v>0</v>
      </c>
      <c r="M26" s="2" t="s">
        <v>119</v>
      </c>
    </row>
    <row r="27" s="2" customFormat="1" spans="1:13">
      <c r="A27" s="2" t="s">
        <v>73</v>
      </c>
      <c r="B27" s="2" t="s">
        <v>10</v>
      </c>
      <c r="C27" s="9">
        <v>45755</v>
      </c>
      <c r="D27" s="2">
        <v>15</v>
      </c>
      <c r="E27" s="2">
        <v>5</v>
      </c>
      <c r="F27" s="2">
        <v>484</v>
      </c>
      <c r="G27" s="2">
        <v>526</v>
      </c>
      <c r="H27" s="4">
        <f t="shared" si="0"/>
        <v>0.333333333333333</v>
      </c>
      <c r="I27" s="4">
        <f t="shared" si="1"/>
        <v>1.08677685950413</v>
      </c>
      <c r="J27" s="7">
        <f ca="1">F27-IFERROR(VLOOKUP($A27,'0521'!$A$1:'0521'!G$48,6,FALSE),IFERROR(VLOOKUP($C27,'0521'!$C$1:'0521'!G$48,4,FALSE),F27-D27))</f>
        <v>0</v>
      </c>
      <c r="K27" s="8">
        <f ca="1">G27-IFERROR(VLOOKUP($A27,'0521'!$A$1:'0521'!H$44,7,FALSE),IFERROR(VLOOKUP($C27,'0521'!$C$1:'0521'!H$44,5,FALSE),G27-E27))</f>
        <v>0</v>
      </c>
      <c r="L27" s="4">
        <f ca="1" t="shared" si="2"/>
        <v>0</v>
      </c>
      <c r="M27" s="2" t="s">
        <v>145</v>
      </c>
    </row>
    <row r="28" s="2" customFormat="1" spans="1:13">
      <c r="A28" s="2" t="s">
        <v>52</v>
      </c>
      <c r="B28" s="2" t="s">
        <v>10</v>
      </c>
      <c r="C28" s="9">
        <v>45743</v>
      </c>
      <c r="D28" s="2">
        <v>105</v>
      </c>
      <c r="E28" s="2">
        <v>20</v>
      </c>
      <c r="F28" s="2">
        <v>5228</v>
      </c>
      <c r="G28" s="2">
        <v>2091</v>
      </c>
      <c r="H28" s="4">
        <f t="shared" si="0"/>
        <v>0.19047619047619</v>
      </c>
      <c r="I28" s="4">
        <f t="shared" si="1"/>
        <v>0.399961744452946</v>
      </c>
      <c r="J28" s="7">
        <f ca="1">F28-IFERROR(VLOOKUP($A28,'0521'!$A$1:'0521'!G$48,6,FALSE),IFERROR(VLOOKUP($C28,'0521'!$C$1:'0521'!G$48,4,FALSE),F28-D28))</f>
        <v>9</v>
      </c>
      <c r="K28" s="8">
        <f ca="1">G28-IFERROR(VLOOKUP($A28,'0521'!$A$1:'0521'!H$44,7,FALSE),IFERROR(VLOOKUP($C28,'0521'!$C$1:'0521'!H$44,5,FALSE),G28-E28))</f>
        <v>0</v>
      </c>
      <c r="L28" s="4">
        <f ca="1" t="shared" si="2"/>
        <v>0</v>
      </c>
      <c r="M28" s="2" t="s">
        <v>53</v>
      </c>
    </row>
    <row r="29" s="2" customFormat="1" spans="1:13">
      <c r="A29" s="2" t="s">
        <v>54</v>
      </c>
      <c r="B29" s="2" t="s">
        <v>10</v>
      </c>
      <c r="C29" s="9">
        <v>45741</v>
      </c>
      <c r="D29" s="2">
        <v>30</v>
      </c>
      <c r="E29" s="2">
        <v>5</v>
      </c>
      <c r="F29" s="2">
        <v>1383</v>
      </c>
      <c r="G29" s="2">
        <v>697</v>
      </c>
      <c r="H29" s="4">
        <f t="shared" si="0"/>
        <v>0.166666666666667</v>
      </c>
      <c r="I29" s="4">
        <f t="shared" si="1"/>
        <v>0.503976861894432</v>
      </c>
      <c r="J29" s="7">
        <f ca="1">F29-IFERROR(VLOOKUP($A29,'0521'!$A$1:'0521'!G$48,6,FALSE),IFERROR(VLOOKUP($C29,'0521'!$C$1:'0521'!G$48,4,FALSE),F29-D29))</f>
        <v>4</v>
      </c>
      <c r="K29" s="8">
        <f ca="1">G29-IFERROR(VLOOKUP($A29,'0521'!$A$1:'0521'!H$44,7,FALSE),IFERROR(VLOOKUP($C29,'0521'!$C$1:'0521'!H$44,5,FALSE),G29-E29))</f>
        <v>0</v>
      </c>
      <c r="L29" s="4">
        <f ca="1" t="shared" si="2"/>
        <v>0</v>
      </c>
      <c r="M29" s="2" t="s">
        <v>135</v>
      </c>
    </row>
    <row r="30" s="2" customFormat="1" spans="1:13">
      <c r="A30" s="2" t="s">
        <v>56</v>
      </c>
      <c r="B30" s="2" t="s">
        <v>10</v>
      </c>
      <c r="C30" s="9">
        <v>45734</v>
      </c>
      <c r="D30" s="2">
        <v>16</v>
      </c>
      <c r="E30" s="2">
        <v>10</v>
      </c>
      <c r="F30" s="2">
        <v>537</v>
      </c>
      <c r="G30" s="2">
        <v>690</v>
      </c>
      <c r="H30" s="4">
        <f t="shared" si="0"/>
        <v>0.625</v>
      </c>
      <c r="I30" s="4">
        <f t="shared" si="1"/>
        <v>1.28491620111732</v>
      </c>
      <c r="J30" s="7">
        <f ca="1">F30-IFERROR(VLOOKUP($A30,'0521'!$A$1:'0521'!G$48,6,FALSE),IFERROR(VLOOKUP($C30,'0521'!$C$1:'0521'!G$48,4,FALSE),F30-D30))</f>
        <v>8</v>
      </c>
      <c r="K30" s="8">
        <f ca="1">G30-IFERROR(VLOOKUP($A30,'0521'!$A$1:'0521'!H$44,7,FALSE),IFERROR(VLOOKUP($C30,'0521'!$C$1:'0521'!H$44,5,FALSE),G30-E30))</f>
        <v>0</v>
      </c>
      <c r="L30" s="4">
        <f ca="1" t="shared" si="2"/>
        <v>0</v>
      </c>
      <c r="M30" s="2" t="s">
        <v>147</v>
      </c>
    </row>
    <row r="31" s="2" customFormat="1" spans="1:13">
      <c r="A31" s="2" t="s">
        <v>58</v>
      </c>
      <c r="B31" s="2" t="s">
        <v>10</v>
      </c>
      <c r="C31" s="9">
        <v>45719</v>
      </c>
      <c r="D31" s="2">
        <v>9</v>
      </c>
      <c r="E31" s="2">
        <v>5</v>
      </c>
      <c r="F31" s="2">
        <v>398</v>
      </c>
      <c r="G31" s="2">
        <v>662</v>
      </c>
      <c r="H31" s="4">
        <f t="shared" si="0"/>
        <v>0.555555555555556</v>
      </c>
      <c r="I31" s="4">
        <f t="shared" si="1"/>
        <v>1.66331658291457</v>
      </c>
      <c r="J31" s="7">
        <f ca="1">F31-IFERROR(VLOOKUP($A31,'0521'!$A$1:'0521'!G$48,6,FALSE),IFERROR(VLOOKUP($C31,'0521'!$C$1:'0521'!G$48,4,FALSE),F31-D31))</f>
        <v>3</v>
      </c>
      <c r="K31" s="8">
        <f ca="1">G31-IFERROR(VLOOKUP($A31,'0521'!$A$1:'0521'!H$44,7,FALSE),IFERROR(VLOOKUP($C31,'0521'!$C$1:'0521'!H$44,5,FALSE),G31-E31))</f>
        <v>0</v>
      </c>
      <c r="L31" s="4">
        <f ca="1" t="shared" si="2"/>
        <v>0</v>
      </c>
      <c r="M31" s="2" t="s">
        <v>122</v>
      </c>
    </row>
    <row r="32" s="2" customFormat="1" spans="1:13">
      <c r="A32" s="2" t="s">
        <v>123</v>
      </c>
      <c r="B32" s="2" t="s">
        <v>10</v>
      </c>
      <c r="C32" s="9">
        <v>45685</v>
      </c>
      <c r="D32" s="2">
        <v>45</v>
      </c>
      <c r="E32" s="2">
        <v>6</v>
      </c>
      <c r="F32" s="2">
        <v>169</v>
      </c>
      <c r="G32" s="2">
        <v>524</v>
      </c>
      <c r="H32" s="4">
        <f t="shared" si="0"/>
        <v>0.133333333333333</v>
      </c>
      <c r="I32" s="4">
        <f t="shared" si="1"/>
        <v>3.10059171597633</v>
      </c>
      <c r="J32" s="7">
        <f ca="1">F32-IFERROR(VLOOKUP($A32,'0521'!$A$1:'0521'!G$48,6,FALSE),IFERROR(VLOOKUP($C32,'0521'!$C$1:'0521'!G$48,4,FALSE),F32-D32))</f>
        <v>0</v>
      </c>
      <c r="K32" s="8">
        <f ca="1">G32-IFERROR(VLOOKUP($A32,'0521'!$A$1:'0521'!H$44,7,FALSE),IFERROR(VLOOKUP($C32,'0521'!$C$1:'0521'!H$44,5,FALSE),G32-E32))</f>
        <v>0</v>
      </c>
      <c r="L32" s="4">
        <f ca="1" t="shared" si="2"/>
        <v>0</v>
      </c>
      <c r="M32" s="2" t="s">
        <v>124</v>
      </c>
    </row>
    <row r="33" s="2" customFormat="1" spans="1:13">
      <c r="A33" s="2" t="s">
        <v>125</v>
      </c>
      <c r="B33" s="2" t="s">
        <v>10</v>
      </c>
      <c r="C33" s="9">
        <v>45626</v>
      </c>
      <c r="D33" s="2">
        <v>18</v>
      </c>
      <c r="E33" s="2">
        <v>6</v>
      </c>
      <c r="F33" s="2">
        <v>216</v>
      </c>
      <c r="G33" s="2">
        <v>519</v>
      </c>
      <c r="H33" s="4">
        <f t="shared" si="0"/>
        <v>0.333333333333333</v>
      </c>
      <c r="I33" s="4">
        <f t="shared" si="1"/>
        <v>2.40277777777778</v>
      </c>
      <c r="J33" s="7">
        <f ca="1">F33-IFERROR(VLOOKUP($A33,'0521'!$A$1:'0521'!G$48,6,FALSE),IFERROR(VLOOKUP($C33,'0521'!$C$1:'0521'!G$48,4,FALSE),F33-D33))</f>
        <v>0</v>
      </c>
      <c r="K33" s="8">
        <f ca="1">G33-IFERROR(VLOOKUP($A33,'0521'!$A$1:'0521'!H$44,7,FALSE),IFERROR(VLOOKUP($C33,'0521'!$C$1:'0521'!H$44,5,FALSE),G33-E33))</f>
        <v>0</v>
      </c>
      <c r="L33" s="4">
        <f ca="1" t="shared" si="2"/>
        <v>0</v>
      </c>
      <c r="M33" s="2" t="s">
        <v>126</v>
      </c>
    </row>
    <row r="34" s="2" customFormat="1" spans="1:13">
      <c r="A34" s="2" t="s">
        <v>136</v>
      </c>
      <c r="B34" s="2" t="s">
        <v>10</v>
      </c>
      <c r="C34" s="9">
        <v>45609</v>
      </c>
      <c r="D34" s="2">
        <v>26</v>
      </c>
      <c r="E34" s="2">
        <v>1</v>
      </c>
      <c r="F34" s="2">
        <v>2615</v>
      </c>
      <c r="G34" s="2">
        <v>890</v>
      </c>
      <c r="H34" s="4">
        <f t="shared" si="0"/>
        <v>0.0384615384615385</v>
      </c>
      <c r="I34" s="4">
        <f t="shared" si="1"/>
        <v>0.340344168260038</v>
      </c>
      <c r="J34" s="7">
        <f ca="1">F34-IFERROR(VLOOKUP($A34,'0521'!$A$1:'0521'!G$48,6,FALSE),IFERROR(VLOOKUP($C34,'0521'!$C$1:'0521'!G$48,4,FALSE),F34-D34))</f>
        <v>4</v>
      </c>
      <c r="K34" s="8">
        <f ca="1">G34-IFERROR(VLOOKUP($A34,'0521'!$A$1:'0521'!H$44,7,FALSE),IFERROR(VLOOKUP($C34,'0521'!$C$1:'0521'!H$44,5,FALSE),G34-E34))</f>
        <v>0</v>
      </c>
      <c r="L34" s="4">
        <f ca="1" t="shared" si="2"/>
        <v>0</v>
      </c>
      <c r="M34" s="2" t="s">
        <v>137</v>
      </c>
    </row>
    <row r="35" s="2" customFormat="1" spans="1:13">
      <c r="A35" s="2" t="s">
        <v>127</v>
      </c>
      <c r="B35" s="2" t="s">
        <v>10</v>
      </c>
      <c r="C35" s="9">
        <v>45547</v>
      </c>
      <c r="D35" s="2">
        <v>21</v>
      </c>
      <c r="E35" s="2">
        <v>1</v>
      </c>
      <c r="F35" s="2">
        <v>9103</v>
      </c>
      <c r="G35" s="2">
        <v>2509</v>
      </c>
      <c r="H35" s="4">
        <f t="shared" si="0"/>
        <v>0.0476190476190476</v>
      </c>
      <c r="I35" s="4">
        <f t="shared" si="1"/>
        <v>0.275623420850269</v>
      </c>
      <c r="J35" s="7">
        <f ca="1">F35-IFERROR(VLOOKUP($A35,'0521'!$A$1:'0521'!G$48,6,FALSE),IFERROR(VLOOKUP($C35,'0521'!$C$1:'0521'!G$48,4,FALSE),F35-D35))</f>
        <v>1</v>
      </c>
      <c r="K35" s="8">
        <f ca="1">G35-IFERROR(VLOOKUP($A35,'0521'!$A$1:'0521'!H$44,7,FALSE),IFERROR(VLOOKUP($C35,'0521'!$C$1:'0521'!H$44,5,FALSE),G35-E35))</f>
        <v>0</v>
      </c>
      <c r="L35" s="4">
        <f ca="1" t="shared" si="2"/>
        <v>0</v>
      </c>
      <c r="M35" s="2" t="s">
        <v>128</v>
      </c>
    </row>
    <row r="36" spans="11:11">
      <c r="K36" s="2">
        <f ca="1">SUM(K2:K35)</f>
        <v>3841</v>
      </c>
    </row>
    <row r="44" spans="8:13">
      <c r="H44" s="10">
        <v>2.08823529411765</v>
      </c>
      <c r="I44" s="10">
        <v>6.54054054054054</v>
      </c>
      <c r="J44" s="11">
        <v>2</v>
      </c>
      <c r="K44" s="11">
        <v>0</v>
      </c>
      <c r="L44" s="10">
        <v>0</v>
      </c>
      <c r="M44" s="12" t="s">
        <v>139</v>
      </c>
    </row>
    <row r="45" spans="14:14">
      <c r="N45" s="12" t="s">
        <v>140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"/>
  <sheetViews>
    <sheetView topLeftCell="A7" workbookViewId="0">
      <selection activeCell="A25" sqref="$A25:$XFD25"/>
    </sheetView>
  </sheetViews>
  <sheetFormatPr defaultColWidth="10" defaultRowHeight="14.4"/>
  <cols>
    <col min="1" max="1" width="49" style="2" customWidth="1"/>
    <col min="2" max="2" width="10" style="2" hidden="1" customWidth="1"/>
    <col min="3" max="3" width="10.4444444444444" style="2" customWidth="1"/>
    <col min="4" max="7" width="5.88888888888889" style="2" customWidth="1"/>
    <col min="8" max="9" width="6.77777777777778" style="2" customWidth="1"/>
    <col min="10" max="10" width="7.66666666666667" style="2" customWidth="1"/>
    <col min="11" max="12" width="6.77777777777778" style="2" customWidth="1"/>
    <col min="13" max="13" width="18.6666666666667" style="2" customWidth="1"/>
    <col min="14" max="14" width="19.6666666666667" style="2" customWidth="1"/>
    <col min="15" max="16384" width="10" style="2"/>
  </cols>
  <sheetData>
    <row r="1" s="2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J1" s="5" t="s">
        <v>7</v>
      </c>
      <c r="K1" s="5" t="s">
        <v>8</v>
      </c>
    </row>
    <row r="2" s="2" customFormat="1" spans="1:12">
      <c r="A2" s="2" t="s">
        <v>151</v>
      </c>
      <c r="B2" s="2" t="s">
        <v>10</v>
      </c>
      <c r="C2" s="9">
        <v>45799</v>
      </c>
      <c r="D2" s="2">
        <v>67</v>
      </c>
      <c r="E2" s="2">
        <v>157</v>
      </c>
      <c r="F2" s="2">
        <v>67</v>
      </c>
      <c r="G2" s="2">
        <v>157</v>
      </c>
      <c r="H2" s="4">
        <f t="shared" ref="H2:H35" si="0">E2/D2</f>
        <v>2.34328358208955</v>
      </c>
      <c r="I2" s="4">
        <f t="shared" ref="I2:I35" si="1">G2/F2</f>
        <v>2.34328358208955</v>
      </c>
      <c r="J2" s="7">
        <f ca="1">F2-IFERROR(VLOOKUP($A2,'0522'!$A$1:'0522'!G$48,6,FALSE),IFERROR(VLOOKUP($C2,'0522'!$C$1:'0522'!G$48,4,FALSE),F2-D2))</f>
        <v>67</v>
      </c>
      <c r="K2" s="8">
        <f ca="1">G2-IFERROR(VLOOKUP($A2,'0522'!$A$1:'0522'!H$44,7,FALSE),IFERROR(VLOOKUP($C2,'0522'!$C$1:'0522'!H$44,5,FALSE),G2-E2))</f>
        <v>157</v>
      </c>
      <c r="L2" s="4">
        <f ca="1" t="shared" ref="L2:L35" si="2">IFERROR(K2/J2,)</f>
        <v>2.34328358208955</v>
      </c>
    </row>
    <row r="3" s="2" customFormat="1" spans="1:12">
      <c r="A3" s="2" t="s">
        <v>148</v>
      </c>
      <c r="B3" s="2" t="s">
        <v>10</v>
      </c>
      <c r="C3" s="9">
        <v>45798</v>
      </c>
      <c r="D3" s="2">
        <v>168</v>
      </c>
      <c r="E3" s="2">
        <v>288</v>
      </c>
      <c r="F3" s="2">
        <v>168</v>
      </c>
      <c r="G3" s="2">
        <v>288</v>
      </c>
      <c r="H3" s="4">
        <f t="shared" si="0"/>
        <v>1.71428571428571</v>
      </c>
      <c r="I3" s="4">
        <f t="shared" si="1"/>
        <v>1.71428571428571</v>
      </c>
      <c r="J3" s="7">
        <f ca="1">F3-IFERROR(VLOOKUP($A3,'0522'!$A$1:'0522'!G$48,6,FALSE),IFERROR(VLOOKUP($C3,'0522'!$C$1:'0522'!G$48,4,FALSE),F3-D3))</f>
        <v>83</v>
      </c>
      <c r="K3" s="8">
        <f ca="1">G3-IFERROR(VLOOKUP($A3,'0522'!$A$1:'0522'!H$44,7,FALSE),IFERROR(VLOOKUP($C3,'0522'!$C$1:'0522'!H$44,5,FALSE),G3-E3))</f>
        <v>220</v>
      </c>
      <c r="L3" s="4">
        <f ca="1" t="shared" si="2"/>
        <v>2.65060240963855</v>
      </c>
    </row>
    <row r="4" s="2" customFormat="1" spans="1:12">
      <c r="A4" s="2" t="s">
        <v>149</v>
      </c>
      <c r="B4" s="2" t="s">
        <v>10</v>
      </c>
      <c r="C4" s="9">
        <v>45798</v>
      </c>
      <c r="D4" s="2">
        <v>190</v>
      </c>
      <c r="E4" s="2">
        <v>238</v>
      </c>
      <c r="F4" s="2">
        <v>190</v>
      </c>
      <c r="G4" s="2">
        <v>238</v>
      </c>
      <c r="H4" s="4">
        <f t="shared" si="0"/>
        <v>1.25263157894737</v>
      </c>
      <c r="I4" s="4">
        <f t="shared" si="1"/>
        <v>1.25263157894737</v>
      </c>
      <c r="J4" s="7">
        <f ca="1">F4-IFERROR(VLOOKUP($A4,'0522'!$A$1:'0522'!G$48,6,FALSE),IFERROR(VLOOKUP($C4,'0522'!$C$1:'0522'!G$48,4,FALSE),F4-D4))</f>
        <v>53</v>
      </c>
      <c r="K4" s="8">
        <f ca="1">G4-IFERROR(VLOOKUP($A4,'0522'!$A$1:'0522'!H$44,7,FALSE),IFERROR(VLOOKUP($C4,'0522'!$C$1:'0522'!H$44,5,FALSE),G4-E4))</f>
        <v>51</v>
      </c>
      <c r="L4" s="4">
        <f ca="1" t="shared" si="2"/>
        <v>0.962264150943396</v>
      </c>
    </row>
    <row r="5" s="2" customFormat="1" spans="1:13">
      <c r="A5" s="2" t="s">
        <v>146</v>
      </c>
      <c r="B5" s="2" t="s">
        <v>10</v>
      </c>
      <c r="C5" s="9">
        <v>45797</v>
      </c>
      <c r="D5" s="2">
        <v>126</v>
      </c>
      <c r="E5" s="2">
        <v>313</v>
      </c>
      <c r="F5" s="2">
        <v>126</v>
      </c>
      <c r="G5" s="2">
        <v>313</v>
      </c>
      <c r="H5" s="4">
        <f t="shared" si="0"/>
        <v>2.48412698412698</v>
      </c>
      <c r="I5" s="4">
        <f t="shared" si="1"/>
        <v>2.48412698412698</v>
      </c>
      <c r="J5" s="7">
        <f ca="1">F5-IFERROR(VLOOKUP($A5,'0522'!$A$1:'0522'!G$48,6,FALSE),IFERROR(VLOOKUP($C5,'0522'!$C$1:'0522'!G$48,4,FALSE),F5-D5))</f>
        <v>11</v>
      </c>
      <c r="K5" s="8">
        <f ca="1">G5-IFERROR(VLOOKUP($A5,'0522'!$A$1:'0522'!H$44,7,FALSE),IFERROR(VLOOKUP($C5,'0522'!$C$1:'0522'!H$44,5,FALSE),G5-E5))</f>
        <v>25</v>
      </c>
      <c r="L5" s="4">
        <f ca="1" t="shared" si="2"/>
        <v>2.27272727272727</v>
      </c>
      <c r="M5" s="2" t="s">
        <v>152</v>
      </c>
    </row>
    <row r="6" s="2" customFormat="1" spans="1:12">
      <c r="A6" s="2" t="s">
        <v>142</v>
      </c>
      <c r="B6" s="2" t="s">
        <v>10</v>
      </c>
      <c r="C6" s="9">
        <v>45796</v>
      </c>
      <c r="D6" s="2">
        <v>132</v>
      </c>
      <c r="E6" s="2">
        <v>276</v>
      </c>
      <c r="F6" s="2">
        <v>132</v>
      </c>
      <c r="G6" s="2">
        <v>276</v>
      </c>
      <c r="H6" s="4">
        <f t="shared" si="0"/>
        <v>2.09090909090909</v>
      </c>
      <c r="I6" s="4">
        <f t="shared" si="1"/>
        <v>2.09090909090909</v>
      </c>
      <c r="J6" s="7">
        <f ca="1">F6-IFERROR(VLOOKUP($A6,'0522'!$A$1:'0522'!G$48,6,FALSE),IFERROR(VLOOKUP($C6,'0522'!$C$1:'0522'!G$48,4,FALSE),F6-D6))</f>
        <v>9</v>
      </c>
      <c r="K6" s="8">
        <f ca="1">G6-IFERROR(VLOOKUP($A6,'0522'!$A$1:'0522'!H$44,7,FALSE),IFERROR(VLOOKUP($C6,'0522'!$C$1:'0522'!H$44,5,FALSE),G6-E6))</f>
        <v>4</v>
      </c>
      <c r="L6" s="4">
        <f ca="1" t="shared" si="2"/>
        <v>0.444444444444444</v>
      </c>
    </row>
    <row r="7" s="2" customFormat="1" spans="1:12">
      <c r="A7" s="2" t="s">
        <v>132</v>
      </c>
      <c r="B7" s="2" t="s">
        <v>10</v>
      </c>
      <c r="C7" s="9">
        <v>45795</v>
      </c>
      <c r="D7" s="2">
        <v>193</v>
      </c>
      <c r="E7" s="2">
        <v>211</v>
      </c>
      <c r="F7" s="2">
        <v>193</v>
      </c>
      <c r="G7" s="2">
        <v>211</v>
      </c>
      <c r="H7" s="4">
        <f t="shared" si="0"/>
        <v>1.09326424870466</v>
      </c>
      <c r="I7" s="4">
        <f t="shared" si="1"/>
        <v>1.09326424870466</v>
      </c>
      <c r="J7" s="7">
        <f ca="1">F7-IFERROR(VLOOKUP($A7,'0522'!$A$1:'0522'!G$48,6,FALSE),IFERROR(VLOOKUP($C7,'0522'!$C$1:'0522'!G$48,4,FALSE),F7-D7))</f>
        <v>14</v>
      </c>
      <c r="K7" s="8">
        <f ca="1">G7-IFERROR(VLOOKUP($A7,'0522'!$A$1:'0522'!H$44,7,FALSE),IFERROR(VLOOKUP($C7,'0522'!$C$1:'0522'!H$44,5,FALSE),G7-E7))</f>
        <v>12</v>
      </c>
      <c r="L7" s="4">
        <f ca="1" t="shared" si="2"/>
        <v>0.857142857142857</v>
      </c>
    </row>
    <row r="8" s="2" customFormat="1" spans="1:13">
      <c r="A8" s="2" t="s">
        <v>129</v>
      </c>
      <c r="B8" s="2" t="s">
        <v>10</v>
      </c>
      <c r="C8" s="9">
        <v>45794</v>
      </c>
      <c r="D8" s="2">
        <v>200</v>
      </c>
      <c r="E8" s="2">
        <v>286</v>
      </c>
      <c r="F8" s="2">
        <v>200</v>
      </c>
      <c r="G8" s="2">
        <v>286</v>
      </c>
      <c r="H8" s="4">
        <f t="shared" si="0"/>
        <v>1.43</v>
      </c>
      <c r="I8" s="4">
        <f t="shared" si="1"/>
        <v>1.43</v>
      </c>
      <c r="J8" s="7">
        <f ca="1">F8-IFERROR(VLOOKUP($A8,'0522'!$A$1:'0522'!G$48,6,FALSE),IFERROR(VLOOKUP($C8,'0522'!$C$1:'0522'!G$48,4,FALSE),F8-D8))</f>
        <v>1</v>
      </c>
      <c r="K8" s="8">
        <f ca="1">G8-IFERROR(VLOOKUP($A8,'0522'!$A$1:'0522'!H$44,7,FALSE),IFERROR(VLOOKUP($C8,'0522'!$C$1:'0522'!H$44,5,FALSE),G8-E8))</f>
        <v>0</v>
      </c>
      <c r="L8" s="4">
        <f ca="1" t="shared" si="2"/>
        <v>0</v>
      </c>
      <c r="M8" s="2" t="s">
        <v>143</v>
      </c>
    </row>
    <row r="9" s="2" customFormat="1" spans="1:12">
      <c r="A9" s="2" t="s">
        <v>130</v>
      </c>
      <c r="B9" s="2" t="s">
        <v>10</v>
      </c>
      <c r="C9" s="9">
        <v>45794</v>
      </c>
      <c r="D9" s="2">
        <v>35633</v>
      </c>
      <c r="E9" s="2">
        <v>10850</v>
      </c>
      <c r="F9" s="2">
        <v>35633</v>
      </c>
      <c r="G9" s="2">
        <v>10850</v>
      </c>
      <c r="H9" s="4">
        <f t="shared" si="0"/>
        <v>0.304493026127466</v>
      </c>
      <c r="I9" s="4">
        <f t="shared" si="1"/>
        <v>0.304493026127466</v>
      </c>
      <c r="J9" s="7">
        <f ca="1">F9-IFERROR(VLOOKUP($A9,'0522'!$A$1:'0522'!G$48,6,FALSE),IFERROR(VLOOKUP($C9,'0522'!$C$1:'0522'!G$48,4,FALSE),F9-D9))</f>
        <v>23568</v>
      </c>
      <c r="K9" s="8">
        <f ca="1">G9-IFERROR(VLOOKUP($A9,'0522'!$A$1:'0522'!H$44,7,FALSE),IFERROR(VLOOKUP($C9,'0522'!$C$1:'0522'!H$44,5,FALSE),G9-E9))</f>
        <v>6140</v>
      </c>
      <c r="L9" s="4">
        <f ca="1" t="shared" si="2"/>
        <v>0.260522742701969</v>
      </c>
    </row>
    <row r="10" s="2" customFormat="1" spans="1:12">
      <c r="A10" s="2" t="s">
        <v>120</v>
      </c>
      <c r="B10" s="2" t="s">
        <v>10</v>
      </c>
      <c r="C10" s="9">
        <v>45793</v>
      </c>
      <c r="D10" s="2">
        <v>235</v>
      </c>
      <c r="E10" s="2">
        <v>460</v>
      </c>
      <c r="F10" s="2">
        <v>235</v>
      </c>
      <c r="G10" s="2">
        <v>460</v>
      </c>
      <c r="H10" s="4">
        <f t="shared" si="0"/>
        <v>1.95744680851064</v>
      </c>
      <c r="I10" s="4">
        <f t="shared" si="1"/>
        <v>1.95744680851064</v>
      </c>
      <c r="J10" s="7">
        <f ca="1">F10-IFERROR(VLOOKUP($A10,'0522'!$A$1:'0522'!G$48,6,FALSE),IFERROR(VLOOKUP($C10,'0522'!$C$1:'0522'!G$48,4,FALSE),F10-D10))</f>
        <v>9</v>
      </c>
      <c r="K10" s="8">
        <f ca="1">G10-IFERROR(VLOOKUP($A10,'0522'!$A$1:'0522'!H$44,7,FALSE),IFERROR(VLOOKUP($C10,'0522'!$C$1:'0522'!H$44,5,FALSE),G10-E10))</f>
        <v>12</v>
      </c>
      <c r="L10" s="4">
        <f ca="1" t="shared" si="2"/>
        <v>1.33333333333333</v>
      </c>
    </row>
    <row r="11" s="2" customFormat="1" spans="1:12">
      <c r="A11" s="2" t="s">
        <v>121</v>
      </c>
      <c r="B11" s="2" t="s">
        <v>10</v>
      </c>
      <c r="C11" s="9">
        <v>45793</v>
      </c>
      <c r="D11" s="2">
        <v>175</v>
      </c>
      <c r="E11" s="2">
        <v>207</v>
      </c>
      <c r="F11" s="2">
        <v>175</v>
      </c>
      <c r="G11" s="2">
        <v>207</v>
      </c>
      <c r="H11" s="4">
        <f t="shared" si="0"/>
        <v>1.18285714285714</v>
      </c>
      <c r="I11" s="4">
        <f t="shared" si="1"/>
        <v>1.18285714285714</v>
      </c>
      <c r="J11" s="7">
        <f ca="1">F11-IFERROR(VLOOKUP($A11,'0522'!$A$1:'0522'!G$48,6,FALSE),IFERROR(VLOOKUP($C11,'0522'!$C$1:'0522'!G$48,4,FALSE),F11-D11))</f>
        <v>7</v>
      </c>
      <c r="K11" s="8">
        <f ca="1">G11-IFERROR(VLOOKUP($A11,'0522'!$A$1:'0522'!H$44,7,FALSE),IFERROR(VLOOKUP($C11,'0522'!$C$1:'0522'!H$44,5,FALSE),G11-E11))</f>
        <v>0</v>
      </c>
      <c r="L11" s="4">
        <f ca="1" t="shared" si="2"/>
        <v>0</v>
      </c>
    </row>
    <row r="12" s="2" customFormat="1" spans="1:12">
      <c r="A12" s="2" t="s">
        <v>115</v>
      </c>
      <c r="B12" s="2" t="s">
        <v>10</v>
      </c>
      <c r="C12" s="9">
        <v>45792</v>
      </c>
      <c r="D12" s="2">
        <v>125</v>
      </c>
      <c r="E12" s="2">
        <v>43</v>
      </c>
      <c r="F12" s="2">
        <v>240</v>
      </c>
      <c r="G12" s="2">
        <v>226</v>
      </c>
      <c r="H12" s="4">
        <f t="shared" si="0"/>
        <v>0.344</v>
      </c>
      <c r="I12" s="4">
        <f t="shared" si="1"/>
        <v>0.941666666666667</v>
      </c>
      <c r="J12" s="7">
        <f ca="1">F12-IFERROR(VLOOKUP($A12,'0522'!$A$1:'0522'!G$48,6,FALSE),IFERROR(VLOOKUP($C12,'0522'!$C$1:'0522'!G$48,4,FALSE),F12-D12))</f>
        <v>4</v>
      </c>
      <c r="K12" s="8">
        <f ca="1">G12-IFERROR(VLOOKUP($A12,'0522'!$A$1:'0522'!H$44,7,FALSE),IFERROR(VLOOKUP($C12,'0522'!$C$1:'0522'!H$44,5,FALSE),G12-E12))</f>
        <v>0</v>
      </c>
      <c r="L12" s="4">
        <f ca="1" t="shared" si="2"/>
        <v>0</v>
      </c>
    </row>
    <row r="13" s="2" customFormat="1" spans="1:13">
      <c r="A13" s="2" t="s">
        <v>116</v>
      </c>
      <c r="B13" s="2" t="s">
        <v>10</v>
      </c>
      <c r="C13" s="9">
        <v>45792</v>
      </c>
      <c r="D13" s="2">
        <v>119</v>
      </c>
      <c r="E13" s="2">
        <v>478</v>
      </c>
      <c r="F13" s="2">
        <v>168</v>
      </c>
      <c r="G13" s="2">
        <v>697</v>
      </c>
      <c r="H13" s="4">
        <f t="shared" si="0"/>
        <v>4.01680672268908</v>
      </c>
      <c r="I13" s="4">
        <f t="shared" si="1"/>
        <v>4.14880952380952</v>
      </c>
      <c r="J13" s="7">
        <f ca="1">F13-IFERROR(VLOOKUP($A13,'0522'!$A$1:'0522'!G$48,6,FALSE),IFERROR(VLOOKUP($C13,'0522'!$C$1:'0522'!G$48,4,FALSE),F13-D13))</f>
        <v>8</v>
      </c>
      <c r="K13" s="8">
        <f ca="1">G13-IFERROR(VLOOKUP($A13,'0522'!$A$1:'0522'!H$44,7,FALSE),IFERROR(VLOOKUP($C13,'0522'!$C$1:'0522'!H$44,5,FALSE),G13-E13))</f>
        <v>71</v>
      </c>
      <c r="L13" s="4">
        <f ca="1" t="shared" si="2"/>
        <v>8.875</v>
      </c>
      <c r="M13" s="2" t="s">
        <v>133</v>
      </c>
    </row>
    <row r="14" s="2" customFormat="1" spans="1:12">
      <c r="A14" s="2" t="s">
        <v>112</v>
      </c>
      <c r="B14" s="2" t="s">
        <v>10</v>
      </c>
      <c r="C14" s="9">
        <v>45791</v>
      </c>
      <c r="D14" s="2">
        <v>93</v>
      </c>
      <c r="E14" s="2">
        <v>12</v>
      </c>
      <c r="F14" s="2">
        <v>320</v>
      </c>
      <c r="G14" s="2">
        <v>177</v>
      </c>
      <c r="H14" s="4">
        <f t="shared" si="0"/>
        <v>0.129032258064516</v>
      </c>
      <c r="I14" s="4">
        <f t="shared" si="1"/>
        <v>0.553125</v>
      </c>
      <c r="J14" s="7">
        <f ca="1">F14-IFERROR(VLOOKUP($A14,'0522'!$A$1:'0522'!G$48,6,FALSE),IFERROR(VLOOKUP($C14,'0522'!$C$1:'0522'!G$48,4,FALSE),F14-D14))</f>
        <v>13</v>
      </c>
      <c r="K14" s="8">
        <f ca="1">G14-IFERROR(VLOOKUP($A14,'0522'!$A$1:'0522'!H$44,7,FALSE),IFERROR(VLOOKUP($C14,'0522'!$C$1:'0522'!H$44,5,FALSE),G14-E14))</f>
        <v>0</v>
      </c>
      <c r="L14" s="4">
        <f ca="1" t="shared" si="2"/>
        <v>0</v>
      </c>
    </row>
    <row r="15" s="2" customFormat="1" spans="1:12">
      <c r="A15" s="2" t="s">
        <v>113</v>
      </c>
      <c r="B15" s="2" t="s">
        <v>10</v>
      </c>
      <c r="C15" s="9">
        <v>45791</v>
      </c>
      <c r="D15" s="2">
        <v>89</v>
      </c>
      <c r="E15" s="2">
        <v>8</v>
      </c>
      <c r="F15" s="2">
        <v>291</v>
      </c>
      <c r="G15" s="2">
        <v>264</v>
      </c>
      <c r="H15" s="4">
        <f t="shared" si="0"/>
        <v>0.0898876404494382</v>
      </c>
      <c r="I15" s="4">
        <f t="shared" si="1"/>
        <v>0.907216494845361</v>
      </c>
      <c r="J15" s="7">
        <f ca="1">F15-IFERROR(VLOOKUP($A15,'0522'!$A$1:'0522'!G$48,6,FALSE),IFERROR(VLOOKUP($C15,'0522'!$C$1:'0522'!G$48,4,FALSE),F15-D15))</f>
        <v>6</v>
      </c>
      <c r="K15" s="8">
        <f ca="1">G15-IFERROR(VLOOKUP($A15,'0522'!$A$1:'0522'!H$44,7,FALSE),IFERROR(VLOOKUP($C15,'0522'!$C$1:'0522'!H$44,5,FALSE),G15-E15))</f>
        <v>0</v>
      </c>
      <c r="L15" s="4">
        <f ca="1" t="shared" si="2"/>
        <v>0</v>
      </c>
    </row>
    <row r="16" s="2" customFormat="1" spans="1:12">
      <c r="A16" s="2" t="s">
        <v>107</v>
      </c>
      <c r="B16" s="2" t="s">
        <v>10</v>
      </c>
      <c r="C16" s="9">
        <v>45790</v>
      </c>
      <c r="D16" s="2">
        <v>46</v>
      </c>
      <c r="E16" s="2">
        <v>18</v>
      </c>
      <c r="F16" s="2">
        <v>340</v>
      </c>
      <c r="G16" s="2">
        <v>312</v>
      </c>
      <c r="H16" s="4">
        <f t="shared" si="0"/>
        <v>0.391304347826087</v>
      </c>
      <c r="I16" s="4">
        <f t="shared" si="1"/>
        <v>0.917647058823529</v>
      </c>
      <c r="J16" s="7">
        <f ca="1">F16-IFERROR(VLOOKUP($A16,'0522'!$A$1:'0522'!G$48,6,FALSE),IFERROR(VLOOKUP($C16,'0522'!$C$1:'0522'!G$48,4,FALSE),F16-D16))</f>
        <v>6</v>
      </c>
      <c r="K16" s="8">
        <f ca="1">G16-IFERROR(VLOOKUP($A16,'0522'!$A$1:'0522'!H$44,7,FALSE),IFERROR(VLOOKUP($C16,'0522'!$C$1:'0522'!H$44,5,FALSE),G16-E16))</f>
        <v>6</v>
      </c>
      <c r="L16" s="4">
        <f ca="1" t="shared" si="2"/>
        <v>1</v>
      </c>
    </row>
    <row r="17" s="2" customFormat="1" spans="1:13">
      <c r="A17" s="2" t="s">
        <v>108</v>
      </c>
      <c r="B17" s="2" t="s">
        <v>10</v>
      </c>
      <c r="C17" s="9">
        <v>45790</v>
      </c>
      <c r="D17" s="2">
        <v>117</v>
      </c>
      <c r="E17" s="2">
        <v>302</v>
      </c>
      <c r="F17" s="2">
        <v>5501</v>
      </c>
      <c r="G17" s="2">
        <v>1217</v>
      </c>
      <c r="H17" s="4">
        <f t="shared" si="0"/>
        <v>2.58119658119658</v>
      </c>
      <c r="I17" s="4">
        <f t="shared" si="1"/>
        <v>0.22123250318124</v>
      </c>
      <c r="J17" s="7">
        <f ca="1">F17-IFERROR(VLOOKUP($A17,'0522'!$A$1:'0522'!G$48,6,FALSE),IFERROR(VLOOKUP($C17,'0522'!$C$1:'0522'!G$48,4,FALSE),F17-D17))</f>
        <v>2</v>
      </c>
      <c r="K17" s="8">
        <f ca="1">G17-IFERROR(VLOOKUP($A17,'0522'!$A$1:'0522'!H$44,7,FALSE),IFERROR(VLOOKUP($C17,'0522'!$C$1:'0522'!H$44,5,FALSE),G17-E17))</f>
        <v>0</v>
      </c>
      <c r="L17" s="4">
        <f ca="1" t="shared" si="2"/>
        <v>0</v>
      </c>
      <c r="M17" s="2" t="s">
        <v>109</v>
      </c>
    </row>
    <row r="18" s="2" customFormat="1" spans="1:13">
      <c r="A18" s="2" t="s">
        <v>105</v>
      </c>
      <c r="B18" s="2" t="s">
        <v>10</v>
      </c>
      <c r="C18" s="9">
        <v>45789</v>
      </c>
      <c r="D18" s="2">
        <v>32</v>
      </c>
      <c r="E18" s="2">
        <v>51</v>
      </c>
      <c r="F18" s="2">
        <v>200</v>
      </c>
      <c r="G18" s="2">
        <v>564</v>
      </c>
      <c r="H18" s="4">
        <f t="shared" si="0"/>
        <v>1.59375</v>
      </c>
      <c r="I18" s="4">
        <f t="shared" si="1"/>
        <v>2.82</v>
      </c>
      <c r="J18" s="7">
        <f ca="1">F18-IFERROR(VLOOKUP($A18,'0522'!$A$1:'0522'!G$48,6,FALSE),IFERROR(VLOOKUP($C18,'0522'!$C$1:'0522'!G$48,4,FALSE),F18-D18))</f>
        <v>3</v>
      </c>
      <c r="K18" s="8">
        <f ca="1">G18-IFERROR(VLOOKUP($A18,'0522'!$A$1:'0522'!H$44,7,FALSE),IFERROR(VLOOKUP($C18,'0522'!$C$1:'0522'!H$44,5,FALSE),G18-E18))</f>
        <v>0</v>
      </c>
      <c r="L18" s="4">
        <f ca="1" t="shared" si="2"/>
        <v>0</v>
      </c>
      <c r="M18" s="2" t="s">
        <v>131</v>
      </c>
    </row>
    <row r="19" s="2" customFormat="1" spans="1:13">
      <c r="A19" s="2" t="s">
        <v>88</v>
      </c>
      <c r="B19" s="2" t="s">
        <v>10</v>
      </c>
      <c r="C19" s="9">
        <v>45785</v>
      </c>
      <c r="D19" s="2">
        <v>12</v>
      </c>
      <c r="E19" s="2">
        <v>4</v>
      </c>
      <c r="F19" s="2">
        <v>317</v>
      </c>
      <c r="G19" s="2">
        <v>199</v>
      </c>
      <c r="H19" s="4">
        <f t="shared" si="0"/>
        <v>0.333333333333333</v>
      </c>
      <c r="I19" s="4">
        <f t="shared" si="1"/>
        <v>0.627760252365931</v>
      </c>
      <c r="J19" s="7">
        <f ca="1">F19-IFERROR(VLOOKUP($A19,'0522'!$A$1:'0522'!G$48,6,FALSE),IFERROR(VLOOKUP($C19,'0522'!$C$1:'0522'!G$48,4,FALSE),F19-D19))</f>
        <v>12</v>
      </c>
      <c r="K19" s="8">
        <f ca="1">G19-IFERROR(VLOOKUP($A19,'0522'!$A$1:'0522'!H$44,7,FALSE),IFERROR(VLOOKUP($C19,'0522'!$C$1:'0522'!H$44,5,FALSE),G19-E19))</f>
        <v>4</v>
      </c>
      <c r="L19" s="4">
        <f ca="1" t="shared" si="2"/>
        <v>0.333333333333333</v>
      </c>
      <c r="M19" s="2" t="s">
        <v>153</v>
      </c>
    </row>
    <row r="20" s="2" customFormat="1" spans="1:12">
      <c r="A20" s="2" t="s">
        <v>77</v>
      </c>
      <c r="B20" s="2" t="s">
        <v>10</v>
      </c>
      <c r="C20" s="9">
        <v>45782</v>
      </c>
      <c r="D20" s="2">
        <v>21</v>
      </c>
      <c r="E20" s="2">
        <v>17</v>
      </c>
      <c r="F20" s="2">
        <v>385</v>
      </c>
      <c r="G20" s="2">
        <v>237</v>
      </c>
      <c r="H20" s="4">
        <f t="shared" si="0"/>
        <v>0.80952380952381</v>
      </c>
      <c r="I20" s="4">
        <f t="shared" si="1"/>
        <v>0.615584415584416</v>
      </c>
      <c r="J20" s="7">
        <f ca="1">F20-IFERROR(VLOOKUP($A20,'0522'!$A$1:'0522'!G$48,6,FALSE),IFERROR(VLOOKUP($C20,'0522'!$C$1:'0522'!G$48,4,FALSE),F20-D20))</f>
        <v>4</v>
      </c>
      <c r="K20" s="8">
        <f ca="1">G20-IFERROR(VLOOKUP($A20,'0522'!$A$1:'0522'!H$44,7,FALSE),IFERROR(VLOOKUP($C20,'0522'!$C$1:'0522'!H$44,5,FALSE),G20-E20))</f>
        <v>0</v>
      </c>
      <c r="L20" s="4">
        <f ca="1" t="shared" si="2"/>
        <v>0</v>
      </c>
    </row>
    <row r="21" s="2" customFormat="1" spans="1:12">
      <c r="A21" s="2" t="s">
        <v>134</v>
      </c>
      <c r="B21" s="2" t="s">
        <v>10</v>
      </c>
      <c r="C21" s="9">
        <v>45780</v>
      </c>
      <c r="D21" s="2">
        <v>443</v>
      </c>
      <c r="E21" s="2">
        <v>43</v>
      </c>
      <c r="F21" s="2">
        <v>1732</v>
      </c>
      <c r="G21" s="2">
        <v>598</v>
      </c>
      <c r="H21" s="4">
        <f t="shared" si="0"/>
        <v>0.0970654627539503</v>
      </c>
      <c r="I21" s="4">
        <f t="shared" si="1"/>
        <v>0.34526558891455</v>
      </c>
      <c r="J21" s="7">
        <f ca="1">F21-IFERROR(VLOOKUP($A21,'0522'!$A$1:'0522'!G$48,6,FALSE),IFERROR(VLOOKUP($C21,'0522'!$C$1:'0522'!G$48,4,FALSE),F21-D21))</f>
        <v>56</v>
      </c>
      <c r="K21" s="8">
        <f ca="1">G21-IFERROR(VLOOKUP($A21,'0522'!$A$1:'0522'!H$44,7,FALSE),IFERROR(VLOOKUP($C21,'0522'!$C$1:'0522'!H$44,5,FALSE),G21-E21))</f>
        <v>12</v>
      </c>
      <c r="L21" s="4">
        <f ca="1" t="shared" si="2"/>
        <v>0.214285714285714</v>
      </c>
    </row>
    <row r="22" s="2" customFormat="1" spans="1:12">
      <c r="A22" s="2" t="s">
        <v>27</v>
      </c>
      <c r="B22" s="2" t="s">
        <v>10</v>
      </c>
      <c r="C22" s="9">
        <v>45769</v>
      </c>
      <c r="D22" s="2">
        <v>31</v>
      </c>
      <c r="E22" s="2">
        <v>7</v>
      </c>
      <c r="F22" s="2">
        <v>673</v>
      </c>
      <c r="G22" s="2">
        <v>369</v>
      </c>
      <c r="H22" s="4">
        <f t="shared" si="0"/>
        <v>0.225806451612903</v>
      </c>
      <c r="I22" s="4">
        <f t="shared" si="1"/>
        <v>0.548291233283804</v>
      </c>
      <c r="J22" s="7">
        <f ca="1">F22-IFERROR(VLOOKUP($A22,'0522'!$A$1:'0522'!G$48,6,FALSE),IFERROR(VLOOKUP($C22,'0522'!$C$1:'0522'!G$48,4,FALSE),F22-D22))</f>
        <v>1</v>
      </c>
      <c r="K22" s="8">
        <f ca="1">G22-IFERROR(VLOOKUP($A22,'0522'!$A$1:'0522'!H$44,7,FALSE),IFERROR(VLOOKUP($C22,'0522'!$C$1:'0522'!H$44,5,FALSE),G22-E22))</f>
        <v>0</v>
      </c>
      <c r="L22" s="4">
        <f ca="1" t="shared" si="2"/>
        <v>0</v>
      </c>
    </row>
    <row r="23" s="2" customFormat="1" spans="1:13">
      <c r="A23" s="2" t="s">
        <v>31</v>
      </c>
      <c r="B23" s="2" t="s">
        <v>10</v>
      </c>
      <c r="C23" s="9">
        <v>45767</v>
      </c>
      <c r="D23" s="2">
        <v>20</v>
      </c>
      <c r="E23" s="2">
        <v>7</v>
      </c>
      <c r="F23" s="2">
        <v>1197</v>
      </c>
      <c r="G23" s="2">
        <v>297</v>
      </c>
      <c r="H23" s="4">
        <f t="shared" si="0"/>
        <v>0.35</v>
      </c>
      <c r="I23" s="4">
        <f t="shared" si="1"/>
        <v>0.24812030075188</v>
      </c>
      <c r="J23" s="7">
        <f ca="1">F23-IFERROR(VLOOKUP($A23,'0522'!$A$1:'0522'!G$48,6,FALSE),IFERROR(VLOOKUP($C23,'0522'!$C$1:'0522'!G$48,4,FALSE),F23-D23))</f>
        <v>4</v>
      </c>
      <c r="K23" s="8">
        <f ca="1">G23-IFERROR(VLOOKUP($A23,'0522'!$A$1:'0522'!H$44,7,FALSE),IFERROR(VLOOKUP($C23,'0522'!$C$1:'0522'!H$44,5,FALSE),G23-E23))</f>
        <v>0</v>
      </c>
      <c r="L23" s="4">
        <f ca="1" t="shared" si="2"/>
        <v>0</v>
      </c>
      <c r="M23" s="2" t="s">
        <v>144</v>
      </c>
    </row>
    <row r="24" s="2" customFormat="1" spans="1:13">
      <c r="A24" s="2" t="s">
        <v>44</v>
      </c>
      <c r="B24" s="2" t="s">
        <v>10</v>
      </c>
      <c r="C24" s="9">
        <v>45761</v>
      </c>
      <c r="D24" s="2">
        <v>41</v>
      </c>
      <c r="E24" s="2">
        <v>5</v>
      </c>
      <c r="F24" s="2">
        <v>1130</v>
      </c>
      <c r="G24" s="2">
        <v>956</v>
      </c>
      <c r="H24" s="4">
        <f t="shared" si="0"/>
        <v>0.121951219512195</v>
      </c>
      <c r="I24" s="4">
        <f t="shared" si="1"/>
        <v>0.846017699115044</v>
      </c>
      <c r="J24" s="7">
        <f ca="1">F24-IFERROR(VLOOKUP($A24,'0522'!$A$1:'0522'!G$48,6,FALSE),IFERROR(VLOOKUP($C24,'0522'!$C$1:'0522'!G$48,4,FALSE),F24-D24))</f>
        <v>11</v>
      </c>
      <c r="K24" s="8">
        <f ca="1">G24-IFERROR(VLOOKUP($A24,'0522'!$A$1:'0522'!H$44,7,FALSE),IFERROR(VLOOKUP($C24,'0522'!$C$1:'0522'!H$44,5,FALSE),G24-E24))</f>
        <v>0</v>
      </c>
      <c r="L24" s="4">
        <f ca="1" t="shared" si="2"/>
        <v>0</v>
      </c>
      <c r="M24" s="2" t="s">
        <v>150</v>
      </c>
    </row>
    <row r="25" s="2" customFormat="1" spans="1:13">
      <c r="A25" s="2" t="s">
        <v>73</v>
      </c>
      <c r="B25" s="2" t="s">
        <v>10</v>
      </c>
      <c r="C25" s="9">
        <v>45755</v>
      </c>
      <c r="D25" s="2">
        <v>15</v>
      </c>
      <c r="E25" s="2">
        <v>5</v>
      </c>
      <c r="F25" s="2">
        <v>484</v>
      </c>
      <c r="G25" s="2">
        <v>526</v>
      </c>
      <c r="H25" s="4">
        <f t="shared" si="0"/>
        <v>0.333333333333333</v>
      </c>
      <c r="I25" s="4">
        <f t="shared" si="1"/>
        <v>1.08677685950413</v>
      </c>
      <c r="J25" s="7">
        <f ca="1">F25-IFERROR(VLOOKUP($A25,'0522'!$A$1:'0522'!G$48,6,FALSE),IFERROR(VLOOKUP($C25,'0522'!$C$1:'0522'!G$48,4,FALSE),F25-D25))</f>
        <v>0</v>
      </c>
      <c r="K25" s="8">
        <f ca="1">G25-IFERROR(VLOOKUP($A25,'0522'!$A$1:'0522'!H$44,7,FALSE),IFERROR(VLOOKUP($C25,'0522'!$C$1:'0522'!H$44,5,FALSE),G25-E25))</f>
        <v>0</v>
      </c>
      <c r="L25" s="4">
        <f ca="1" t="shared" si="2"/>
        <v>0</v>
      </c>
      <c r="M25" s="2" t="s">
        <v>145</v>
      </c>
    </row>
    <row r="26" s="2" customFormat="1" spans="1:13">
      <c r="A26" s="2" t="s">
        <v>54</v>
      </c>
      <c r="B26" s="2" t="s">
        <v>10</v>
      </c>
      <c r="C26" s="9">
        <v>45741</v>
      </c>
      <c r="D26" s="2">
        <v>28</v>
      </c>
      <c r="E26" s="2">
        <v>5</v>
      </c>
      <c r="F26" s="2">
        <v>1386</v>
      </c>
      <c r="G26" s="2">
        <v>697</v>
      </c>
      <c r="H26" s="4">
        <f t="shared" si="0"/>
        <v>0.178571428571429</v>
      </c>
      <c r="I26" s="4">
        <f t="shared" si="1"/>
        <v>0.502886002886003</v>
      </c>
      <c r="J26" s="7">
        <f ca="1">F26-IFERROR(VLOOKUP($A26,'0522'!$A$1:'0522'!G$48,6,FALSE),IFERROR(VLOOKUP($C26,'0522'!$C$1:'0522'!G$48,4,FALSE),F26-D26))</f>
        <v>3</v>
      </c>
      <c r="K26" s="8">
        <f ca="1">G26-IFERROR(VLOOKUP($A26,'0522'!$A$1:'0522'!H$44,7,FALSE),IFERROR(VLOOKUP($C26,'0522'!$C$1:'0522'!H$44,5,FALSE),G26-E26))</f>
        <v>0</v>
      </c>
      <c r="L26" s="4">
        <f ca="1" t="shared" si="2"/>
        <v>0</v>
      </c>
      <c r="M26" s="2" t="s">
        <v>135</v>
      </c>
    </row>
    <row r="27" s="2" customFormat="1" spans="1:13">
      <c r="A27" s="2" t="s">
        <v>56</v>
      </c>
      <c r="B27" s="2" t="s">
        <v>10</v>
      </c>
      <c r="C27" s="9">
        <v>45734</v>
      </c>
      <c r="D27" s="2">
        <v>15</v>
      </c>
      <c r="E27" s="2">
        <v>10</v>
      </c>
      <c r="F27" s="2">
        <v>538</v>
      </c>
      <c r="G27" s="2">
        <v>690</v>
      </c>
      <c r="H27" s="4">
        <f t="shared" si="0"/>
        <v>0.666666666666667</v>
      </c>
      <c r="I27" s="4">
        <f t="shared" si="1"/>
        <v>1.28252788104089</v>
      </c>
      <c r="J27" s="7">
        <f ca="1">F27-IFERROR(VLOOKUP($A27,'0522'!$A$1:'0522'!G$48,6,FALSE),IFERROR(VLOOKUP($C27,'0522'!$C$1:'0522'!G$48,4,FALSE),F27-D27))</f>
        <v>1</v>
      </c>
      <c r="K27" s="8">
        <f ca="1">G27-IFERROR(VLOOKUP($A27,'0522'!$A$1:'0522'!H$44,7,FALSE),IFERROR(VLOOKUP($C27,'0522'!$C$1:'0522'!H$44,5,FALSE),G27-E27))</f>
        <v>0</v>
      </c>
      <c r="L27" s="4">
        <f ca="1" t="shared" si="2"/>
        <v>0</v>
      </c>
      <c r="M27" s="2" t="s">
        <v>147</v>
      </c>
    </row>
    <row r="28" s="2" customFormat="1" spans="1:13">
      <c r="A28" s="2" t="s">
        <v>58</v>
      </c>
      <c r="B28" s="2" t="s">
        <v>10</v>
      </c>
      <c r="C28" s="9">
        <v>45719</v>
      </c>
      <c r="D28" s="2">
        <v>9</v>
      </c>
      <c r="E28" s="2">
        <v>5</v>
      </c>
      <c r="F28" s="2">
        <v>398</v>
      </c>
      <c r="G28" s="2">
        <v>662</v>
      </c>
      <c r="H28" s="4">
        <f t="shared" si="0"/>
        <v>0.555555555555556</v>
      </c>
      <c r="I28" s="4">
        <f t="shared" si="1"/>
        <v>1.66331658291457</v>
      </c>
      <c r="J28" s="7">
        <f ca="1">F28-IFERROR(VLOOKUP($A28,'0522'!$A$1:'0522'!G$48,6,FALSE),IFERROR(VLOOKUP($C28,'0522'!$C$1:'0522'!G$48,4,FALSE),F28-D28))</f>
        <v>0</v>
      </c>
      <c r="K28" s="8">
        <f ca="1">G28-IFERROR(VLOOKUP($A28,'0522'!$A$1:'0522'!H$44,7,FALSE),IFERROR(VLOOKUP($C28,'0522'!$C$1:'0522'!H$44,5,FALSE),G28-E28))</f>
        <v>0</v>
      </c>
      <c r="L28" s="4">
        <f ca="1" t="shared" si="2"/>
        <v>0</v>
      </c>
      <c r="M28" s="2" t="s">
        <v>122</v>
      </c>
    </row>
    <row r="29" s="2" customFormat="1" spans="1:13">
      <c r="A29" s="2" t="s">
        <v>123</v>
      </c>
      <c r="B29" s="2" t="s">
        <v>10</v>
      </c>
      <c r="C29" s="9">
        <v>45685</v>
      </c>
      <c r="D29" s="2">
        <v>45</v>
      </c>
      <c r="E29" s="2">
        <v>6</v>
      </c>
      <c r="F29" s="2">
        <v>175</v>
      </c>
      <c r="G29" s="2">
        <v>524</v>
      </c>
      <c r="H29" s="4">
        <f t="shared" si="0"/>
        <v>0.133333333333333</v>
      </c>
      <c r="I29" s="4">
        <f t="shared" si="1"/>
        <v>2.99428571428571</v>
      </c>
      <c r="J29" s="7">
        <f ca="1">F29-IFERROR(VLOOKUP($A29,'0522'!$A$1:'0522'!G$48,6,FALSE),IFERROR(VLOOKUP($C29,'0522'!$C$1:'0522'!G$48,4,FALSE),F29-D29))</f>
        <v>6</v>
      </c>
      <c r="K29" s="8">
        <f ca="1">G29-IFERROR(VLOOKUP($A29,'0522'!$A$1:'0522'!H$44,7,FALSE),IFERROR(VLOOKUP($C29,'0522'!$C$1:'0522'!H$44,5,FALSE),G29-E29))</f>
        <v>0</v>
      </c>
      <c r="L29" s="4">
        <f ca="1" t="shared" si="2"/>
        <v>0</v>
      </c>
      <c r="M29" s="2" t="s">
        <v>124</v>
      </c>
    </row>
    <row r="30" s="2" customFormat="1" spans="1:13">
      <c r="A30" s="2" t="s">
        <v>125</v>
      </c>
      <c r="B30" s="2" t="s">
        <v>10</v>
      </c>
      <c r="C30" s="9">
        <v>45626</v>
      </c>
      <c r="D30" s="2">
        <v>16</v>
      </c>
      <c r="E30" s="2">
        <v>6</v>
      </c>
      <c r="F30" s="2">
        <v>216</v>
      </c>
      <c r="G30" s="2">
        <v>519</v>
      </c>
      <c r="H30" s="4">
        <f t="shared" si="0"/>
        <v>0.375</v>
      </c>
      <c r="I30" s="4">
        <f t="shared" si="1"/>
        <v>2.40277777777778</v>
      </c>
      <c r="J30" s="7">
        <f ca="1">F30-IFERROR(VLOOKUP($A30,'0522'!$A$1:'0522'!G$48,6,FALSE),IFERROR(VLOOKUP($C30,'0522'!$C$1:'0522'!G$48,4,FALSE),F30-D30))</f>
        <v>0</v>
      </c>
      <c r="K30" s="8">
        <f ca="1">G30-IFERROR(VLOOKUP($A30,'0522'!$A$1:'0522'!H$44,7,FALSE),IFERROR(VLOOKUP($C30,'0522'!$C$1:'0522'!H$44,5,FALSE),G30-E30))</f>
        <v>0</v>
      </c>
      <c r="L30" s="4">
        <f ca="1" t="shared" si="2"/>
        <v>0</v>
      </c>
      <c r="M30" s="2" t="s">
        <v>126</v>
      </c>
    </row>
    <row r="31" s="2" customFormat="1" spans="1:13">
      <c r="A31" s="2" t="s">
        <v>154</v>
      </c>
      <c r="B31" s="2" t="s">
        <v>10</v>
      </c>
      <c r="C31" s="9">
        <v>45619</v>
      </c>
      <c r="D31" s="2">
        <v>44</v>
      </c>
      <c r="E31" s="2">
        <v>4</v>
      </c>
      <c r="F31" s="2">
        <v>1807</v>
      </c>
      <c r="G31" s="2">
        <v>845</v>
      </c>
      <c r="H31" s="4">
        <f t="shared" si="0"/>
        <v>0.0909090909090909</v>
      </c>
      <c r="I31" s="4">
        <f t="shared" si="1"/>
        <v>0.467625899280576</v>
      </c>
      <c r="J31" s="7">
        <f ca="1">F31-IFERROR(VLOOKUP($A31,'0522'!$A$1:'0522'!G$48,6,FALSE),IFERROR(VLOOKUP($C31,'0522'!$C$1:'0522'!G$48,4,FALSE),F31-D31))</f>
        <v>44</v>
      </c>
      <c r="K31" s="8">
        <f ca="1">G31-IFERROR(VLOOKUP($A31,'0522'!$A$1:'0522'!H$44,7,FALSE),IFERROR(VLOOKUP($C31,'0522'!$C$1:'0522'!H$44,5,FALSE),G31-E31))</f>
        <v>4</v>
      </c>
      <c r="L31" s="4">
        <f ca="1" t="shared" si="2"/>
        <v>0.0909090909090909</v>
      </c>
      <c r="M31" s="2" t="s">
        <v>155</v>
      </c>
    </row>
    <row r="32" s="2" customFormat="1" spans="1:13">
      <c r="A32" s="2" t="s">
        <v>136</v>
      </c>
      <c r="B32" s="2" t="s">
        <v>10</v>
      </c>
      <c r="C32" s="9">
        <v>45609</v>
      </c>
      <c r="D32" s="2">
        <v>30</v>
      </c>
      <c r="E32" s="2">
        <v>1</v>
      </c>
      <c r="F32" s="2">
        <v>2619</v>
      </c>
      <c r="G32" s="2">
        <v>890</v>
      </c>
      <c r="H32" s="4">
        <f t="shared" si="0"/>
        <v>0.0333333333333333</v>
      </c>
      <c r="I32" s="4">
        <f t="shared" si="1"/>
        <v>0.339824360442917</v>
      </c>
      <c r="J32" s="7">
        <f ca="1">F32-IFERROR(VLOOKUP($A32,'0522'!$A$1:'0522'!G$48,6,FALSE),IFERROR(VLOOKUP($C32,'0522'!$C$1:'0522'!G$48,4,FALSE),F32-D32))</f>
        <v>4</v>
      </c>
      <c r="K32" s="8">
        <f ca="1">G32-IFERROR(VLOOKUP($A32,'0522'!$A$1:'0522'!H$44,7,FALSE),IFERROR(VLOOKUP($C32,'0522'!$C$1:'0522'!H$44,5,FALSE),G32-E32))</f>
        <v>0</v>
      </c>
      <c r="L32" s="4">
        <f ca="1" t="shared" si="2"/>
        <v>0</v>
      </c>
      <c r="M32" s="2" t="s">
        <v>137</v>
      </c>
    </row>
    <row r="33" s="2" customFormat="1" spans="1:13">
      <c r="A33" s="2" t="s">
        <v>127</v>
      </c>
      <c r="B33" s="2" t="s">
        <v>10</v>
      </c>
      <c r="C33" s="9">
        <v>45547</v>
      </c>
      <c r="D33" s="2">
        <v>17</v>
      </c>
      <c r="E33" s="2">
        <v>1</v>
      </c>
      <c r="F33" s="2">
        <v>9103</v>
      </c>
      <c r="G33" s="2">
        <v>2509</v>
      </c>
      <c r="H33" s="4">
        <f t="shared" si="0"/>
        <v>0.0588235294117647</v>
      </c>
      <c r="I33" s="4">
        <f t="shared" si="1"/>
        <v>0.275623420850269</v>
      </c>
      <c r="J33" s="7">
        <f ca="1">F33-IFERROR(VLOOKUP($A33,'0522'!$A$1:'0522'!G$48,6,FALSE),IFERROR(VLOOKUP($C33,'0522'!$C$1:'0522'!G$48,4,FALSE),F33-D33))</f>
        <v>0</v>
      </c>
      <c r="K33" s="8">
        <f ca="1">G33-IFERROR(VLOOKUP($A33,'0522'!$A$1:'0522'!H$44,7,FALSE),IFERROR(VLOOKUP($C33,'0522'!$C$1:'0522'!H$44,5,FALSE),G33-E33))</f>
        <v>0</v>
      </c>
      <c r="L33" s="4">
        <f ca="1" t="shared" si="2"/>
        <v>0</v>
      </c>
      <c r="M33" s="2" t="s">
        <v>128</v>
      </c>
    </row>
    <row r="34" spans="11:11">
      <c r="K34" s="2">
        <f ca="1">SUM(K2:K33)</f>
        <v>6718</v>
      </c>
    </row>
    <row r="40" spans="13:13">
      <c r="M40" s="12" t="s">
        <v>139</v>
      </c>
    </row>
    <row r="42" spans="8:12">
      <c r="H42" s="10">
        <v>2.08823529411765</v>
      </c>
      <c r="I42" s="10">
        <v>6.54054054054054</v>
      </c>
      <c r="J42" s="11">
        <v>2</v>
      </c>
      <c r="K42" s="11">
        <v>0</v>
      </c>
      <c r="L42" s="10">
        <v>0</v>
      </c>
    </row>
    <row r="44" spans="14:14">
      <c r="N44" s="12" t="s">
        <v>140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H1" sqref="H$1:L$1048576"/>
    </sheetView>
  </sheetViews>
  <sheetFormatPr defaultColWidth="10" defaultRowHeight="14.4"/>
  <cols>
    <col min="1" max="1" width="52.3333333333333" style="2" customWidth="1"/>
    <col min="2" max="2" width="10" style="2" hidden="1" customWidth="1"/>
    <col min="3" max="3" width="10.6666666666667" style="2" customWidth="1"/>
    <col min="4" max="7" width="5.88888888888889" style="2" customWidth="1"/>
    <col min="8" max="9" width="6.77777777777778" style="2" customWidth="1"/>
    <col min="10" max="10" width="7.66666666666667" style="2" customWidth="1"/>
    <col min="11" max="12" width="6.77777777777778" style="2" customWidth="1"/>
    <col min="13" max="13" width="18.6666666666667" style="2" customWidth="1"/>
    <col min="14" max="16384" width="10" style="2"/>
  </cols>
  <sheetData>
    <row r="1" s="2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J1" s="5" t="s">
        <v>7</v>
      </c>
      <c r="K1" s="5" t="s">
        <v>8</v>
      </c>
    </row>
    <row r="2" s="2" customFormat="1" spans="1:12">
      <c r="A2" s="2" t="s">
        <v>156</v>
      </c>
      <c r="B2" s="2" t="s">
        <v>10</v>
      </c>
      <c r="C2" s="9">
        <v>45800</v>
      </c>
      <c r="D2" s="2">
        <v>151</v>
      </c>
      <c r="E2" s="2">
        <v>235</v>
      </c>
      <c r="F2" s="2">
        <v>151</v>
      </c>
      <c r="G2" s="2">
        <v>235</v>
      </c>
      <c r="H2" s="4">
        <f t="shared" ref="H2:H33" si="0">E2/D2</f>
        <v>1.55629139072848</v>
      </c>
      <c r="I2" s="4">
        <f t="shared" ref="I2:I33" si="1">G2/F2</f>
        <v>1.55629139072848</v>
      </c>
      <c r="J2" s="7">
        <f ca="1">F2-IFERROR(VLOOKUP($A2,'0523'!$A$1:'0523'!G$48,6,FALSE),IFERROR(VLOOKUP($C2,'0523'!$C$1:'0523'!G$48,4,FALSE),F2-D2))</f>
        <v>151</v>
      </c>
      <c r="K2" s="8">
        <f ca="1">G2-IFERROR(VLOOKUP($A2,'0523'!$A$1:'0523'!H$44,7,FALSE),IFERROR(VLOOKUP($C2,'0523'!$C$1:'0523'!H$44,5,FALSE),G2-E2))</f>
        <v>235</v>
      </c>
      <c r="L2" s="4">
        <f ca="1" t="shared" ref="L2:L33" si="2">IFERROR(K2/J2,)</f>
        <v>1.55629139072848</v>
      </c>
    </row>
    <row r="3" s="2" customFormat="1" spans="1:12">
      <c r="A3" s="2" t="s">
        <v>151</v>
      </c>
      <c r="B3" s="2" t="s">
        <v>10</v>
      </c>
      <c r="C3" s="9">
        <v>45799</v>
      </c>
      <c r="D3" s="2">
        <v>105</v>
      </c>
      <c r="E3" s="2">
        <v>230</v>
      </c>
      <c r="F3" s="2">
        <v>105</v>
      </c>
      <c r="G3" s="2">
        <v>230</v>
      </c>
      <c r="H3" s="4">
        <f t="shared" si="0"/>
        <v>2.19047619047619</v>
      </c>
      <c r="I3" s="4">
        <f t="shared" si="1"/>
        <v>2.19047619047619</v>
      </c>
      <c r="J3" s="7">
        <f ca="1">F3-IFERROR(VLOOKUP($A3,'0523'!$A$1:'0523'!G$48,6,FALSE),IFERROR(VLOOKUP($C3,'0523'!$C$1:'0523'!G$48,4,FALSE),F3-D3))</f>
        <v>38</v>
      </c>
      <c r="K3" s="8">
        <f ca="1">G3-IFERROR(VLOOKUP($A3,'0523'!$A$1:'0523'!H$44,7,FALSE),IFERROR(VLOOKUP($C3,'0523'!$C$1:'0523'!H$44,5,FALSE),G3-E3))</f>
        <v>73</v>
      </c>
      <c r="L3" s="4">
        <f ca="1" t="shared" si="2"/>
        <v>1.92105263157895</v>
      </c>
    </row>
    <row r="4" s="2" customFormat="1" spans="1:12">
      <c r="A4" s="2" t="s">
        <v>148</v>
      </c>
      <c r="B4" s="2" t="s">
        <v>10</v>
      </c>
      <c r="C4" s="9">
        <v>45798</v>
      </c>
      <c r="D4" s="2">
        <v>187</v>
      </c>
      <c r="E4" s="2">
        <v>391</v>
      </c>
      <c r="F4" s="2">
        <v>187</v>
      </c>
      <c r="G4" s="2">
        <v>391</v>
      </c>
      <c r="H4" s="4">
        <f t="shared" si="0"/>
        <v>2.09090909090909</v>
      </c>
      <c r="I4" s="4">
        <f t="shared" si="1"/>
        <v>2.09090909090909</v>
      </c>
      <c r="J4" s="7">
        <f ca="1">F4-IFERROR(VLOOKUP($A4,'0523'!$A$1:'0523'!G$48,6,FALSE),IFERROR(VLOOKUP($C4,'0523'!$C$1:'0523'!G$48,4,FALSE),F4-D4))</f>
        <v>19</v>
      </c>
      <c r="K4" s="8">
        <f ca="1">G4-IFERROR(VLOOKUP($A4,'0523'!$A$1:'0523'!H$44,7,FALSE),IFERROR(VLOOKUP($C4,'0523'!$C$1:'0523'!H$44,5,FALSE),G4-E4))</f>
        <v>103</v>
      </c>
      <c r="L4" s="4">
        <f ca="1" t="shared" si="2"/>
        <v>5.42105263157895</v>
      </c>
    </row>
    <row r="5" s="2" customFormat="1" spans="1:12">
      <c r="A5" s="2" t="s">
        <v>149</v>
      </c>
      <c r="B5" s="2" t="s">
        <v>10</v>
      </c>
      <c r="C5" s="9">
        <v>45798</v>
      </c>
      <c r="D5" s="2">
        <v>202</v>
      </c>
      <c r="E5" s="2">
        <v>238</v>
      </c>
      <c r="F5" s="2">
        <v>202</v>
      </c>
      <c r="G5" s="2">
        <v>238</v>
      </c>
      <c r="H5" s="4">
        <f t="shared" si="0"/>
        <v>1.17821782178218</v>
      </c>
      <c r="I5" s="4">
        <f t="shared" si="1"/>
        <v>1.17821782178218</v>
      </c>
      <c r="J5" s="7">
        <f ca="1">F5-IFERROR(VLOOKUP($A5,'0523'!$A$1:'0523'!G$48,6,FALSE),IFERROR(VLOOKUP($C5,'0523'!$C$1:'0523'!G$48,4,FALSE),F5-D5))</f>
        <v>12</v>
      </c>
      <c r="K5" s="8">
        <f ca="1">G5-IFERROR(VLOOKUP($A5,'0523'!$A$1:'0523'!H$44,7,FALSE),IFERROR(VLOOKUP($C5,'0523'!$C$1:'0523'!H$44,5,FALSE),G5-E5))</f>
        <v>0</v>
      </c>
      <c r="L5" s="4">
        <f ca="1" t="shared" si="2"/>
        <v>0</v>
      </c>
    </row>
    <row r="6" s="2" customFormat="1" spans="1:13">
      <c r="A6" s="2" t="s">
        <v>146</v>
      </c>
      <c r="B6" s="2" t="s">
        <v>10</v>
      </c>
      <c r="C6" s="9">
        <v>45797</v>
      </c>
      <c r="D6" s="2">
        <v>139</v>
      </c>
      <c r="E6" s="2">
        <v>351</v>
      </c>
      <c r="F6" s="2">
        <v>139</v>
      </c>
      <c r="G6" s="2">
        <v>351</v>
      </c>
      <c r="H6" s="4">
        <f t="shared" si="0"/>
        <v>2.52517985611511</v>
      </c>
      <c r="I6" s="4">
        <f t="shared" si="1"/>
        <v>2.52517985611511</v>
      </c>
      <c r="J6" s="7">
        <f ca="1">F6-IFERROR(VLOOKUP($A6,'0523'!$A$1:'0523'!G$48,6,FALSE),IFERROR(VLOOKUP($C6,'0523'!$C$1:'0523'!G$48,4,FALSE),F6-D6))</f>
        <v>13</v>
      </c>
      <c r="K6" s="8">
        <f ca="1">G6-IFERROR(VLOOKUP($A6,'0523'!$A$1:'0523'!H$44,7,FALSE),IFERROR(VLOOKUP($C6,'0523'!$C$1:'0523'!H$44,5,FALSE),G6-E6))</f>
        <v>38</v>
      </c>
      <c r="L6" s="4">
        <f ca="1" t="shared" si="2"/>
        <v>2.92307692307692</v>
      </c>
      <c r="M6" s="2" t="s">
        <v>152</v>
      </c>
    </row>
    <row r="7" s="2" customFormat="1" spans="1:12">
      <c r="A7" s="2" t="s">
        <v>142</v>
      </c>
      <c r="B7" s="2" t="s">
        <v>10</v>
      </c>
      <c r="C7" s="9">
        <v>45796</v>
      </c>
      <c r="D7" s="2">
        <v>136</v>
      </c>
      <c r="E7" s="2">
        <v>276</v>
      </c>
      <c r="F7" s="2">
        <v>136</v>
      </c>
      <c r="G7" s="2">
        <v>276</v>
      </c>
      <c r="H7" s="4">
        <f t="shared" si="0"/>
        <v>2.02941176470588</v>
      </c>
      <c r="I7" s="4">
        <f t="shared" si="1"/>
        <v>2.02941176470588</v>
      </c>
      <c r="J7" s="7">
        <f ca="1">F7-IFERROR(VLOOKUP($A7,'0523'!$A$1:'0523'!G$48,6,FALSE),IFERROR(VLOOKUP($C7,'0523'!$C$1:'0523'!G$48,4,FALSE),F7-D7))</f>
        <v>4</v>
      </c>
      <c r="K7" s="8">
        <f ca="1">G7-IFERROR(VLOOKUP($A7,'0523'!$A$1:'0523'!H$44,7,FALSE),IFERROR(VLOOKUP($C7,'0523'!$C$1:'0523'!H$44,5,FALSE),G7-E7))</f>
        <v>0</v>
      </c>
      <c r="L7" s="4">
        <f ca="1" t="shared" si="2"/>
        <v>0</v>
      </c>
    </row>
    <row r="8" s="2" customFormat="1" spans="1:12">
      <c r="A8" s="2" t="s">
        <v>132</v>
      </c>
      <c r="B8" s="2" t="s">
        <v>10</v>
      </c>
      <c r="C8" s="9">
        <v>45795</v>
      </c>
      <c r="D8" s="2">
        <v>195</v>
      </c>
      <c r="E8" s="2">
        <v>211</v>
      </c>
      <c r="F8" s="2">
        <v>195</v>
      </c>
      <c r="G8" s="2">
        <v>211</v>
      </c>
      <c r="H8" s="4">
        <f t="shared" si="0"/>
        <v>1.08205128205128</v>
      </c>
      <c r="I8" s="4">
        <f t="shared" si="1"/>
        <v>1.08205128205128</v>
      </c>
      <c r="J8" s="7">
        <f ca="1">F8-IFERROR(VLOOKUP($A8,'0523'!$A$1:'0523'!G$48,6,FALSE),IFERROR(VLOOKUP($C8,'0523'!$C$1:'0523'!G$48,4,FALSE),F8-D8))</f>
        <v>2</v>
      </c>
      <c r="K8" s="8">
        <f ca="1">G8-IFERROR(VLOOKUP($A8,'0523'!$A$1:'0523'!H$44,7,FALSE),IFERROR(VLOOKUP($C8,'0523'!$C$1:'0523'!H$44,5,FALSE),G8-E8))</f>
        <v>0</v>
      </c>
      <c r="L8" s="4">
        <f ca="1" t="shared" si="2"/>
        <v>0</v>
      </c>
    </row>
    <row r="9" s="2" customFormat="1" spans="1:13">
      <c r="A9" s="2" t="s">
        <v>129</v>
      </c>
      <c r="B9" s="2" t="s">
        <v>10</v>
      </c>
      <c r="C9" s="9">
        <v>45794</v>
      </c>
      <c r="D9" s="2">
        <v>203</v>
      </c>
      <c r="E9" s="2">
        <v>286</v>
      </c>
      <c r="F9" s="2">
        <v>203</v>
      </c>
      <c r="G9" s="2">
        <v>286</v>
      </c>
      <c r="H9" s="4">
        <f t="shared" si="0"/>
        <v>1.40886699507389</v>
      </c>
      <c r="I9" s="4">
        <f t="shared" si="1"/>
        <v>1.40886699507389</v>
      </c>
      <c r="J9" s="7">
        <f ca="1">F9-IFERROR(VLOOKUP($A9,'0523'!$A$1:'0523'!G$48,6,FALSE),IFERROR(VLOOKUP($C9,'0523'!$C$1:'0523'!G$48,4,FALSE),F9-D9))</f>
        <v>3</v>
      </c>
      <c r="K9" s="8">
        <f ca="1">G9-IFERROR(VLOOKUP($A9,'0523'!$A$1:'0523'!H$44,7,FALSE),IFERROR(VLOOKUP($C9,'0523'!$C$1:'0523'!H$44,5,FALSE),G9-E9))</f>
        <v>0</v>
      </c>
      <c r="L9" s="4">
        <f ca="1" t="shared" si="2"/>
        <v>0</v>
      </c>
      <c r="M9" s="2" t="s">
        <v>143</v>
      </c>
    </row>
    <row r="10" s="2" customFormat="1" spans="1:12">
      <c r="A10" s="2" t="s">
        <v>130</v>
      </c>
      <c r="B10" s="2" t="s">
        <v>10</v>
      </c>
      <c r="C10" s="9">
        <v>45794</v>
      </c>
      <c r="D10" s="2">
        <v>37692</v>
      </c>
      <c r="E10" s="2">
        <v>11478</v>
      </c>
      <c r="F10" s="2">
        <v>37692</v>
      </c>
      <c r="G10" s="2">
        <v>11478</v>
      </c>
      <c r="H10" s="4">
        <f t="shared" si="0"/>
        <v>0.304520853231455</v>
      </c>
      <c r="I10" s="4">
        <f t="shared" si="1"/>
        <v>0.304520853231455</v>
      </c>
      <c r="J10" s="7">
        <f ca="1">F10-IFERROR(VLOOKUP($A10,'0523'!$A$1:'0523'!G$48,6,FALSE),IFERROR(VLOOKUP($C10,'0523'!$C$1:'0523'!G$48,4,FALSE),F10-D10))</f>
        <v>2059</v>
      </c>
      <c r="K10" s="8">
        <f ca="1">G10-IFERROR(VLOOKUP($A10,'0523'!$A$1:'0523'!H$44,7,FALSE),IFERROR(VLOOKUP($C10,'0523'!$C$1:'0523'!H$44,5,FALSE),G10-E10))</f>
        <v>628</v>
      </c>
      <c r="L10" s="4">
        <f ca="1" t="shared" si="2"/>
        <v>0.305002428363283</v>
      </c>
    </row>
    <row r="11" s="2" customFormat="1" spans="1:12">
      <c r="A11" s="2" t="s">
        <v>120</v>
      </c>
      <c r="B11" s="2" t="s">
        <v>10</v>
      </c>
      <c r="C11" s="9">
        <v>45793</v>
      </c>
      <c r="D11" s="2">
        <v>135</v>
      </c>
      <c r="E11" s="2">
        <v>114</v>
      </c>
      <c r="F11" s="2">
        <v>242</v>
      </c>
      <c r="G11" s="2">
        <v>460</v>
      </c>
      <c r="H11" s="4">
        <f t="shared" si="0"/>
        <v>0.844444444444444</v>
      </c>
      <c r="I11" s="4">
        <f t="shared" si="1"/>
        <v>1.90082644628099</v>
      </c>
      <c r="J11" s="7">
        <f ca="1">F11-IFERROR(VLOOKUP($A11,'0523'!$A$1:'0523'!G$48,6,FALSE),IFERROR(VLOOKUP($C11,'0523'!$C$1:'0523'!G$48,4,FALSE),F11-D11))</f>
        <v>7</v>
      </c>
      <c r="K11" s="8">
        <f ca="1">G11-IFERROR(VLOOKUP($A11,'0523'!$A$1:'0523'!H$44,7,FALSE),IFERROR(VLOOKUP($C11,'0523'!$C$1:'0523'!H$44,5,FALSE),G11-E11))</f>
        <v>0</v>
      </c>
      <c r="L11" s="4">
        <f ca="1" t="shared" si="2"/>
        <v>0</v>
      </c>
    </row>
    <row r="12" s="2" customFormat="1" spans="1:12">
      <c r="A12" s="2" t="s">
        <v>121</v>
      </c>
      <c r="B12" s="2" t="s">
        <v>10</v>
      </c>
      <c r="C12" s="9">
        <v>45793</v>
      </c>
      <c r="D12" s="2">
        <v>88</v>
      </c>
      <c r="E12" s="2">
        <v>28</v>
      </c>
      <c r="F12" s="2">
        <v>178</v>
      </c>
      <c r="G12" s="2">
        <v>207</v>
      </c>
      <c r="H12" s="4">
        <f t="shared" si="0"/>
        <v>0.318181818181818</v>
      </c>
      <c r="I12" s="4">
        <f t="shared" si="1"/>
        <v>1.16292134831461</v>
      </c>
      <c r="J12" s="7">
        <f ca="1">F12-IFERROR(VLOOKUP($A12,'0523'!$A$1:'0523'!G$48,6,FALSE),IFERROR(VLOOKUP($C12,'0523'!$C$1:'0523'!G$48,4,FALSE),F12-D12))</f>
        <v>3</v>
      </c>
      <c r="K12" s="8">
        <f ca="1">G12-IFERROR(VLOOKUP($A12,'0523'!$A$1:'0523'!H$44,7,FALSE),IFERROR(VLOOKUP($C12,'0523'!$C$1:'0523'!H$44,5,FALSE),G12-E12))</f>
        <v>0</v>
      </c>
      <c r="L12" s="4">
        <f ca="1" t="shared" si="2"/>
        <v>0</v>
      </c>
    </row>
    <row r="13" s="2" customFormat="1" spans="1:13">
      <c r="A13" s="2" t="s">
        <v>116</v>
      </c>
      <c r="B13" s="2" t="s">
        <v>10</v>
      </c>
      <c r="C13" s="9">
        <v>45792</v>
      </c>
      <c r="D13" s="2">
        <v>81</v>
      </c>
      <c r="E13" s="2">
        <v>392</v>
      </c>
      <c r="F13" s="2">
        <v>175</v>
      </c>
      <c r="G13" s="2">
        <v>718</v>
      </c>
      <c r="H13" s="4">
        <f t="shared" si="0"/>
        <v>4.83950617283951</v>
      </c>
      <c r="I13" s="4">
        <f t="shared" si="1"/>
        <v>4.10285714285714</v>
      </c>
      <c r="J13" s="7">
        <f ca="1">F13-IFERROR(VLOOKUP($A13,'0523'!$A$1:'0523'!G$48,6,FALSE),IFERROR(VLOOKUP($C13,'0523'!$C$1:'0523'!G$48,4,FALSE),F13-D13))</f>
        <v>7</v>
      </c>
      <c r="K13" s="8">
        <f ca="1">G13-IFERROR(VLOOKUP($A13,'0523'!$A$1:'0523'!H$44,7,FALSE),IFERROR(VLOOKUP($C13,'0523'!$C$1:'0523'!H$44,5,FALSE),G13-E13))</f>
        <v>21</v>
      </c>
      <c r="L13" s="4">
        <f ca="1" t="shared" si="2"/>
        <v>3</v>
      </c>
      <c r="M13" s="2" t="s">
        <v>133</v>
      </c>
    </row>
    <row r="14" s="2" customFormat="1" spans="1:12">
      <c r="A14" s="2" t="s">
        <v>112</v>
      </c>
      <c r="B14" s="2" t="s">
        <v>10</v>
      </c>
      <c r="C14" s="9">
        <v>45791</v>
      </c>
      <c r="D14" s="2">
        <v>54</v>
      </c>
      <c r="E14" s="2">
        <v>8</v>
      </c>
      <c r="F14" s="2">
        <v>323</v>
      </c>
      <c r="G14" s="2">
        <v>177</v>
      </c>
      <c r="H14" s="4">
        <f t="shared" si="0"/>
        <v>0.148148148148148</v>
      </c>
      <c r="I14" s="4">
        <f t="shared" si="1"/>
        <v>0.547987616099071</v>
      </c>
      <c r="J14" s="7">
        <f ca="1">F14-IFERROR(VLOOKUP($A14,'0523'!$A$1:'0523'!G$48,6,FALSE),IFERROR(VLOOKUP($C14,'0523'!$C$1:'0523'!G$48,4,FALSE),F14-D14))</f>
        <v>3</v>
      </c>
      <c r="K14" s="8">
        <f ca="1">G14-IFERROR(VLOOKUP($A14,'0523'!$A$1:'0523'!H$44,7,FALSE),IFERROR(VLOOKUP($C14,'0523'!$C$1:'0523'!H$44,5,FALSE),G14-E14))</f>
        <v>0</v>
      </c>
      <c r="L14" s="4">
        <f ca="1" t="shared" si="2"/>
        <v>0</v>
      </c>
    </row>
    <row r="15" s="2" customFormat="1" spans="1:12">
      <c r="A15" s="2" t="s">
        <v>107</v>
      </c>
      <c r="B15" s="2" t="s">
        <v>10</v>
      </c>
      <c r="C15" s="9">
        <v>45790</v>
      </c>
      <c r="D15" s="2">
        <v>33</v>
      </c>
      <c r="E15" s="2">
        <v>6</v>
      </c>
      <c r="F15" s="2">
        <v>341</v>
      </c>
      <c r="G15" s="2">
        <v>312</v>
      </c>
      <c r="H15" s="4">
        <f t="shared" si="0"/>
        <v>0.181818181818182</v>
      </c>
      <c r="I15" s="4">
        <f t="shared" si="1"/>
        <v>0.914956011730205</v>
      </c>
      <c r="J15" s="7">
        <f ca="1">F15-IFERROR(VLOOKUP($A15,'0523'!$A$1:'0523'!G$48,6,FALSE),IFERROR(VLOOKUP($C15,'0523'!$C$1:'0523'!G$48,4,FALSE),F15-D15))</f>
        <v>1</v>
      </c>
      <c r="K15" s="8">
        <f ca="1">G15-IFERROR(VLOOKUP($A15,'0523'!$A$1:'0523'!H$44,7,FALSE),IFERROR(VLOOKUP($C15,'0523'!$C$1:'0523'!H$44,5,FALSE),G15-E15))</f>
        <v>0</v>
      </c>
      <c r="L15" s="4">
        <f ca="1" t="shared" si="2"/>
        <v>0</v>
      </c>
    </row>
    <row r="16" s="2" customFormat="1" spans="1:13">
      <c r="A16" s="2" t="s">
        <v>108</v>
      </c>
      <c r="B16" s="2" t="s">
        <v>10</v>
      </c>
      <c r="C16" s="9">
        <v>45790</v>
      </c>
      <c r="D16" s="2">
        <v>50</v>
      </c>
      <c r="E16" s="2">
        <v>69</v>
      </c>
      <c r="F16" s="2">
        <v>5504</v>
      </c>
      <c r="G16" s="2">
        <v>1217</v>
      </c>
      <c r="H16" s="4">
        <f t="shared" si="0"/>
        <v>1.38</v>
      </c>
      <c r="I16" s="4">
        <f t="shared" si="1"/>
        <v>0.221111918604651</v>
      </c>
      <c r="J16" s="7">
        <f ca="1">F16-IFERROR(VLOOKUP($A16,'0523'!$A$1:'0523'!G$48,6,FALSE),IFERROR(VLOOKUP($C16,'0523'!$C$1:'0523'!G$48,4,FALSE),F16-D16))</f>
        <v>3</v>
      </c>
      <c r="K16" s="8">
        <f ca="1">G16-IFERROR(VLOOKUP($A16,'0523'!$A$1:'0523'!H$44,7,FALSE),IFERROR(VLOOKUP($C16,'0523'!$C$1:'0523'!H$44,5,FALSE),G16-E16))</f>
        <v>0</v>
      </c>
      <c r="L16" s="4">
        <f ca="1" t="shared" si="2"/>
        <v>0</v>
      </c>
      <c r="M16" s="2" t="s">
        <v>109</v>
      </c>
    </row>
    <row r="17" s="2" customFormat="1" spans="1:13">
      <c r="A17" s="2" t="s">
        <v>105</v>
      </c>
      <c r="B17" s="2" t="s">
        <v>10</v>
      </c>
      <c r="C17" s="9">
        <v>45789</v>
      </c>
      <c r="D17" s="2">
        <v>42</v>
      </c>
      <c r="E17" s="2">
        <v>57</v>
      </c>
      <c r="F17" s="2">
        <v>211</v>
      </c>
      <c r="G17" s="2">
        <v>570</v>
      </c>
      <c r="H17" s="4">
        <f t="shared" si="0"/>
        <v>1.35714285714286</v>
      </c>
      <c r="I17" s="4">
        <f t="shared" si="1"/>
        <v>2.70142180094787</v>
      </c>
      <c r="J17" s="7">
        <f ca="1">F17-IFERROR(VLOOKUP($A17,'0523'!$A$1:'0523'!G$48,6,FALSE),IFERROR(VLOOKUP($C17,'0523'!$C$1:'0523'!G$48,4,FALSE),F17-D17))</f>
        <v>11</v>
      </c>
      <c r="K17" s="8">
        <f ca="1">G17-IFERROR(VLOOKUP($A17,'0523'!$A$1:'0523'!H$44,7,FALSE),IFERROR(VLOOKUP($C17,'0523'!$C$1:'0523'!H$44,5,FALSE),G17-E17))</f>
        <v>6</v>
      </c>
      <c r="L17" s="4">
        <f ca="1" t="shared" si="2"/>
        <v>0.545454545454545</v>
      </c>
      <c r="M17" s="2" t="s">
        <v>131</v>
      </c>
    </row>
    <row r="18" s="2" customFormat="1" spans="1:13">
      <c r="A18" s="2" t="s">
        <v>88</v>
      </c>
      <c r="B18" s="2" t="s">
        <v>10</v>
      </c>
      <c r="C18" s="9">
        <v>45785</v>
      </c>
      <c r="D18" s="2">
        <v>16</v>
      </c>
      <c r="E18" s="2">
        <v>4</v>
      </c>
      <c r="F18" s="2">
        <v>322</v>
      </c>
      <c r="G18" s="2">
        <v>199</v>
      </c>
      <c r="H18" s="4">
        <f t="shared" si="0"/>
        <v>0.25</v>
      </c>
      <c r="I18" s="4">
        <f t="shared" si="1"/>
        <v>0.618012422360248</v>
      </c>
      <c r="J18" s="7">
        <f ca="1">F18-IFERROR(VLOOKUP($A18,'0523'!$A$1:'0523'!G$48,6,FALSE),IFERROR(VLOOKUP($C18,'0523'!$C$1:'0523'!G$48,4,FALSE),F18-D18))</f>
        <v>5</v>
      </c>
      <c r="K18" s="8">
        <f ca="1">G18-IFERROR(VLOOKUP($A18,'0523'!$A$1:'0523'!H$44,7,FALSE),IFERROR(VLOOKUP($C18,'0523'!$C$1:'0523'!H$44,5,FALSE),G18-E18))</f>
        <v>0</v>
      </c>
      <c r="L18" s="4">
        <f ca="1" t="shared" si="2"/>
        <v>0</v>
      </c>
      <c r="M18" s="2" t="s">
        <v>153</v>
      </c>
    </row>
    <row r="19" s="2" customFormat="1" spans="1:12">
      <c r="A19" s="2" t="s">
        <v>77</v>
      </c>
      <c r="B19" s="2" t="s">
        <v>10</v>
      </c>
      <c r="C19" s="9">
        <v>45782</v>
      </c>
      <c r="D19" s="2">
        <v>22</v>
      </c>
      <c r="E19" s="2">
        <v>17</v>
      </c>
      <c r="F19" s="2">
        <v>388</v>
      </c>
      <c r="G19" s="2">
        <v>237</v>
      </c>
      <c r="H19" s="4">
        <f t="shared" si="0"/>
        <v>0.772727272727273</v>
      </c>
      <c r="I19" s="4">
        <f t="shared" si="1"/>
        <v>0.610824742268041</v>
      </c>
      <c r="J19" s="7">
        <f ca="1">F19-IFERROR(VLOOKUP($A19,'0523'!$A$1:'0523'!G$48,6,FALSE),IFERROR(VLOOKUP($C19,'0523'!$C$1:'0523'!G$48,4,FALSE),F19-D19))</f>
        <v>3</v>
      </c>
      <c r="K19" s="8">
        <f ca="1">G19-IFERROR(VLOOKUP($A19,'0523'!$A$1:'0523'!H$44,7,FALSE),IFERROR(VLOOKUP($C19,'0523'!$C$1:'0523'!H$44,5,FALSE),G19-E19))</f>
        <v>0</v>
      </c>
      <c r="L19" s="4">
        <f ca="1" t="shared" si="2"/>
        <v>0</v>
      </c>
    </row>
    <row r="20" s="2" customFormat="1" spans="1:12">
      <c r="A20" s="2" t="s">
        <v>134</v>
      </c>
      <c r="B20" s="2" t="s">
        <v>10</v>
      </c>
      <c r="C20" s="9">
        <v>45780</v>
      </c>
      <c r="D20" s="2">
        <v>439</v>
      </c>
      <c r="E20" s="2">
        <v>37</v>
      </c>
      <c r="F20" s="2">
        <v>1764</v>
      </c>
      <c r="G20" s="2">
        <v>598</v>
      </c>
      <c r="H20" s="4">
        <f t="shared" si="0"/>
        <v>0.0842824601366743</v>
      </c>
      <c r="I20" s="4">
        <f t="shared" si="1"/>
        <v>0.339002267573696</v>
      </c>
      <c r="J20" s="7">
        <f ca="1">F20-IFERROR(VLOOKUP($A20,'0523'!$A$1:'0523'!G$48,6,FALSE),IFERROR(VLOOKUP($C20,'0523'!$C$1:'0523'!G$48,4,FALSE),F20-D20))</f>
        <v>32</v>
      </c>
      <c r="K20" s="8">
        <f ca="1">G20-IFERROR(VLOOKUP($A20,'0523'!$A$1:'0523'!H$44,7,FALSE),IFERROR(VLOOKUP($C20,'0523'!$C$1:'0523'!H$44,5,FALSE),G20-E20))</f>
        <v>0</v>
      </c>
      <c r="L20" s="4">
        <f ca="1" t="shared" si="2"/>
        <v>0</v>
      </c>
    </row>
    <row r="21" s="2" customFormat="1" spans="1:12">
      <c r="A21" s="2" t="s">
        <v>27</v>
      </c>
      <c r="B21" s="2" t="s">
        <v>10</v>
      </c>
      <c r="C21" s="9">
        <v>45769</v>
      </c>
      <c r="D21" s="2">
        <v>30</v>
      </c>
      <c r="E21" s="2">
        <v>7</v>
      </c>
      <c r="F21" s="2">
        <v>674</v>
      </c>
      <c r="G21" s="2">
        <v>369</v>
      </c>
      <c r="H21" s="4">
        <f t="shared" si="0"/>
        <v>0.233333333333333</v>
      </c>
      <c r="I21" s="4">
        <f t="shared" si="1"/>
        <v>0.547477744807122</v>
      </c>
      <c r="J21" s="7">
        <f ca="1">F21-IFERROR(VLOOKUP($A21,'0523'!$A$1:'0523'!G$48,6,FALSE),IFERROR(VLOOKUP($C21,'0523'!$C$1:'0523'!G$48,4,FALSE),F21-D21))</f>
        <v>1</v>
      </c>
      <c r="K21" s="8">
        <f ca="1">G21-IFERROR(VLOOKUP($A21,'0523'!$A$1:'0523'!H$44,7,FALSE),IFERROR(VLOOKUP($C21,'0523'!$C$1:'0523'!H$44,5,FALSE),G21-E21))</f>
        <v>0</v>
      </c>
      <c r="L21" s="4">
        <f ca="1" t="shared" si="2"/>
        <v>0</v>
      </c>
    </row>
    <row r="22" s="2" customFormat="1" spans="1:13">
      <c r="A22" s="2" t="s">
        <v>31</v>
      </c>
      <c r="B22" s="2" t="s">
        <v>10</v>
      </c>
      <c r="C22" s="9">
        <v>45767</v>
      </c>
      <c r="D22" s="2">
        <v>22</v>
      </c>
      <c r="E22" s="2">
        <v>7</v>
      </c>
      <c r="F22" s="2">
        <v>1204</v>
      </c>
      <c r="G22" s="2">
        <v>297</v>
      </c>
      <c r="H22" s="4">
        <f t="shared" si="0"/>
        <v>0.318181818181818</v>
      </c>
      <c r="I22" s="4">
        <f t="shared" si="1"/>
        <v>0.246677740863787</v>
      </c>
      <c r="J22" s="7">
        <f ca="1">F22-IFERROR(VLOOKUP($A22,'0523'!$A$1:'0523'!G$48,6,FALSE),IFERROR(VLOOKUP($C22,'0523'!$C$1:'0523'!G$48,4,FALSE),F22-D22))</f>
        <v>7</v>
      </c>
      <c r="K22" s="8">
        <f ca="1">G22-IFERROR(VLOOKUP($A22,'0523'!$A$1:'0523'!H$44,7,FALSE),IFERROR(VLOOKUP($C22,'0523'!$C$1:'0523'!H$44,5,FALSE),G22-E22))</f>
        <v>0</v>
      </c>
      <c r="L22" s="4">
        <f ca="1" t="shared" si="2"/>
        <v>0</v>
      </c>
      <c r="M22" s="2" t="s">
        <v>144</v>
      </c>
    </row>
    <row r="23" s="2" customFormat="1" spans="1:13">
      <c r="A23" s="2" t="s">
        <v>44</v>
      </c>
      <c r="B23" s="2" t="s">
        <v>10</v>
      </c>
      <c r="C23" s="9">
        <v>45761</v>
      </c>
      <c r="D23" s="2">
        <v>42</v>
      </c>
      <c r="E23" s="2">
        <v>5</v>
      </c>
      <c r="F23" s="2">
        <v>1132</v>
      </c>
      <c r="G23" s="2">
        <v>956</v>
      </c>
      <c r="H23" s="4">
        <f t="shared" si="0"/>
        <v>0.119047619047619</v>
      </c>
      <c r="I23" s="4">
        <f t="shared" si="1"/>
        <v>0.84452296819788</v>
      </c>
      <c r="J23" s="7">
        <f ca="1">F23-IFERROR(VLOOKUP($A23,'0523'!$A$1:'0523'!G$48,6,FALSE),IFERROR(VLOOKUP($C23,'0523'!$C$1:'0523'!G$48,4,FALSE),F23-D23))</f>
        <v>2</v>
      </c>
      <c r="K23" s="8">
        <f ca="1">G23-IFERROR(VLOOKUP($A23,'0523'!$A$1:'0523'!H$44,7,FALSE),IFERROR(VLOOKUP($C23,'0523'!$C$1:'0523'!H$44,5,FALSE),G23-E23))</f>
        <v>0</v>
      </c>
      <c r="L23" s="4">
        <f ca="1" t="shared" si="2"/>
        <v>0</v>
      </c>
      <c r="M23" s="2" t="s">
        <v>150</v>
      </c>
    </row>
    <row r="24" s="2" customFormat="1" spans="1:13">
      <c r="A24" s="2" t="s">
        <v>73</v>
      </c>
      <c r="B24" s="2" t="s">
        <v>10</v>
      </c>
      <c r="C24" s="9">
        <v>45755</v>
      </c>
      <c r="D24" s="2">
        <v>15</v>
      </c>
      <c r="E24" s="2">
        <v>5</v>
      </c>
      <c r="F24" s="2">
        <v>484</v>
      </c>
      <c r="G24" s="2">
        <v>526</v>
      </c>
      <c r="H24" s="4">
        <f t="shared" si="0"/>
        <v>0.333333333333333</v>
      </c>
      <c r="I24" s="4">
        <f t="shared" si="1"/>
        <v>1.08677685950413</v>
      </c>
      <c r="J24" s="7">
        <f ca="1">F24-IFERROR(VLOOKUP($A24,'0523'!$A$1:'0523'!G$48,6,FALSE),IFERROR(VLOOKUP($C24,'0523'!$C$1:'0523'!G$48,4,FALSE),F24-D24))</f>
        <v>0</v>
      </c>
      <c r="K24" s="8">
        <f ca="1">G24-IFERROR(VLOOKUP($A24,'0523'!$A$1:'0523'!H$44,7,FALSE),IFERROR(VLOOKUP($C24,'0523'!$C$1:'0523'!H$44,5,FALSE),G24-E24))</f>
        <v>0</v>
      </c>
      <c r="L24" s="4">
        <f ca="1" t="shared" si="2"/>
        <v>0</v>
      </c>
      <c r="M24" s="2" t="s">
        <v>145</v>
      </c>
    </row>
    <row r="25" s="2" customFormat="1" spans="1:13">
      <c r="A25" s="2" t="s">
        <v>54</v>
      </c>
      <c r="B25" s="2" t="s">
        <v>10</v>
      </c>
      <c r="C25" s="9">
        <v>45741</v>
      </c>
      <c r="D25" s="2">
        <v>29</v>
      </c>
      <c r="E25" s="2">
        <v>5</v>
      </c>
      <c r="F25" s="2">
        <v>1392</v>
      </c>
      <c r="G25" s="2">
        <v>697</v>
      </c>
      <c r="H25" s="4">
        <f t="shared" si="0"/>
        <v>0.172413793103448</v>
      </c>
      <c r="I25" s="4">
        <f t="shared" si="1"/>
        <v>0.500718390804598</v>
      </c>
      <c r="J25" s="7">
        <f ca="1">F25-IFERROR(VLOOKUP($A25,'0523'!$A$1:'0523'!G$48,6,FALSE),IFERROR(VLOOKUP($C25,'0523'!$C$1:'0523'!G$48,4,FALSE),F25-D25))</f>
        <v>6</v>
      </c>
      <c r="K25" s="8">
        <f ca="1">G25-IFERROR(VLOOKUP($A25,'0523'!$A$1:'0523'!H$44,7,FALSE),IFERROR(VLOOKUP($C25,'0523'!$C$1:'0523'!H$44,5,FALSE),G25-E25))</f>
        <v>0</v>
      </c>
      <c r="L25" s="4">
        <f ca="1" t="shared" si="2"/>
        <v>0</v>
      </c>
      <c r="M25" s="2" t="s">
        <v>135</v>
      </c>
    </row>
    <row r="26" s="2" customFormat="1" spans="1:13">
      <c r="A26" s="2" t="s">
        <v>56</v>
      </c>
      <c r="B26" s="2" t="s">
        <v>10</v>
      </c>
      <c r="C26" s="9">
        <v>45734</v>
      </c>
      <c r="D26" s="2">
        <v>19</v>
      </c>
      <c r="E26" s="2">
        <v>10</v>
      </c>
      <c r="F26" s="2">
        <v>542</v>
      </c>
      <c r="G26" s="2">
        <v>690</v>
      </c>
      <c r="H26" s="4">
        <f t="shared" si="0"/>
        <v>0.526315789473684</v>
      </c>
      <c r="I26" s="4">
        <f t="shared" si="1"/>
        <v>1.27306273062731</v>
      </c>
      <c r="J26" s="7">
        <f ca="1">F26-IFERROR(VLOOKUP($A26,'0523'!$A$1:'0523'!G$48,6,FALSE),IFERROR(VLOOKUP($C26,'0523'!$C$1:'0523'!G$48,4,FALSE),F26-D26))</f>
        <v>4</v>
      </c>
      <c r="K26" s="8">
        <f ca="1">G26-IFERROR(VLOOKUP($A26,'0523'!$A$1:'0523'!H$44,7,FALSE),IFERROR(VLOOKUP($C26,'0523'!$C$1:'0523'!H$44,5,FALSE),G26-E26))</f>
        <v>0</v>
      </c>
      <c r="L26" s="4">
        <f ca="1" t="shared" si="2"/>
        <v>0</v>
      </c>
      <c r="M26" s="2" t="s">
        <v>147</v>
      </c>
    </row>
    <row r="27" s="2" customFormat="1" spans="1:13">
      <c r="A27" s="2" t="s">
        <v>154</v>
      </c>
      <c r="B27" s="2" t="s">
        <v>10</v>
      </c>
      <c r="C27" s="9">
        <v>45619</v>
      </c>
      <c r="D27" s="2">
        <v>58</v>
      </c>
      <c r="E27" s="2">
        <v>4</v>
      </c>
      <c r="F27" s="2">
        <v>1824</v>
      </c>
      <c r="G27" s="2">
        <v>845</v>
      </c>
      <c r="H27" s="4">
        <f t="shared" si="0"/>
        <v>0.0689655172413793</v>
      </c>
      <c r="I27" s="4">
        <f t="shared" si="1"/>
        <v>0.463267543859649</v>
      </c>
      <c r="J27" s="7">
        <f ca="1">F27-IFERROR(VLOOKUP($A27,'0523'!$A$1:'0523'!G$48,6,FALSE),IFERROR(VLOOKUP($C27,'0523'!$C$1:'0523'!G$48,4,FALSE),F27-D27))</f>
        <v>17</v>
      </c>
      <c r="K27" s="8">
        <f ca="1">G27-IFERROR(VLOOKUP($A27,'0523'!$A$1:'0523'!H$44,7,FALSE),IFERROR(VLOOKUP($C27,'0523'!$C$1:'0523'!H$44,5,FALSE),G27-E27))</f>
        <v>0</v>
      </c>
      <c r="L27" s="4">
        <f ca="1" t="shared" si="2"/>
        <v>0</v>
      </c>
      <c r="M27" s="2" t="s">
        <v>155</v>
      </c>
    </row>
    <row r="28" s="2" customFormat="1" spans="1:13">
      <c r="A28" s="2" t="s">
        <v>136</v>
      </c>
      <c r="B28" s="2" t="s">
        <v>10</v>
      </c>
      <c r="C28" s="9">
        <v>45609</v>
      </c>
      <c r="D28" s="2">
        <v>40</v>
      </c>
      <c r="E28" s="2">
        <v>1</v>
      </c>
      <c r="F28" s="2">
        <v>2631</v>
      </c>
      <c r="G28" s="2">
        <v>890</v>
      </c>
      <c r="H28" s="4">
        <f t="shared" si="0"/>
        <v>0.025</v>
      </c>
      <c r="I28" s="4">
        <f t="shared" si="1"/>
        <v>0.338274420372482</v>
      </c>
      <c r="J28" s="7">
        <f ca="1">F28-IFERROR(VLOOKUP($A28,'0523'!$A$1:'0523'!G$48,6,FALSE),IFERROR(VLOOKUP($C28,'0523'!$C$1:'0523'!G$48,4,FALSE),F28-D28))</f>
        <v>12</v>
      </c>
      <c r="K28" s="8">
        <f ca="1">G28-IFERROR(VLOOKUP($A28,'0523'!$A$1:'0523'!H$44,7,FALSE),IFERROR(VLOOKUP($C28,'0523'!$C$1:'0523'!H$44,5,FALSE),G28-E28))</f>
        <v>0</v>
      </c>
      <c r="L28" s="4">
        <f ca="1" t="shared" si="2"/>
        <v>0</v>
      </c>
      <c r="M28" s="2" t="s">
        <v>137</v>
      </c>
    </row>
    <row r="29" spans="11:11">
      <c r="K29" s="2">
        <f ca="1">SUM(K2:K28)</f>
        <v>1104</v>
      </c>
    </row>
    <row r="31" spans="13:13">
      <c r="M31" s="12" t="s">
        <v>139</v>
      </c>
    </row>
    <row r="37" spans="8:12">
      <c r="H37" s="10">
        <v>2.08823529411765</v>
      </c>
      <c r="I37" s="10">
        <v>6.54054054054054</v>
      </c>
      <c r="J37" s="11">
        <v>2</v>
      </c>
      <c r="K37" s="11">
        <v>0</v>
      </c>
      <c r="L37" s="10">
        <v>0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A15" sqref="$A15:$XFD15"/>
    </sheetView>
  </sheetViews>
  <sheetFormatPr defaultColWidth="10" defaultRowHeight="14.4"/>
  <cols>
    <col min="1" max="1" width="53.8888888888889" style="2" customWidth="1"/>
    <col min="2" max="2" width="10" style="2" hidden="1" customWidth="1"/>
    <col min="3" max="3" width="10.4444444444444" style="2" customWidth="1"/>
    <col min="4" max="7" width="5.88888888888889" style="2" customWidth="1"/>
    <col min="8" max="9" width="6.77777777777778" style="2" customWidth="1"/>
    <col min="10" max="10" width="7.66666666666667" style="2" customWidth="1"/>
    <col min="11" max="12" width="6.77777777777778" style="2" customWidth="1"/>
    <col min="13" max="13" width="18.6666666666667" style="2" customWidth="1"/>
    <col min="14" max="16384" width="10" style="2"/>
  </cols>
  <sheetData>
    <row r="1" s="2" customForma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J1" s="5" t="s">
        <v>7</v>
      </c>
      <c r="K1" s="5" t="s">
        <v>8</v>
      </c>
      <c r="M1" s="6" t="s">
        <v>157</v>
      </c>
    </row>
    <row r="2" s="2" customFormat="1" spans="1:12">
      <c r="A2" s="2" t="s">
        <v>158</v>
      </c>
      <c r="B2" s="2" t="s">
        <v>10</v>
      </c>
      <c r="C2" s="9">
        <v>45801</v>
      </c>
      <c r="D2" s="2">
        <v>96</v>
      </c>
      <c r="E2" s="2">
        <v>248</v>
      </c>
      <c r="F2" s="2">
        <v>96</v>
      </c>
      <c r="G2" s="2">
        <v>248</v>
      </c>
      <c r="H2" s="4">
        <f>E2/D2</f>
        <v>2.58333333333333</v>
      </c>
      <c r="I2" s="4">
        <f>G2/F2</f>
        <v>2.58333333333333</v>
      </c>
      <c r="J2" s="7">
        <f ca="1">F2-IFERROR(VLOOKUP($A2,'0524'!$A$1:'0524'!G$48,6,FALSE),IFERROR(VLOOKUP($C2,'0524'!$C$1:'0524'!G$48,4,FALSE),F2-D2))</f>
        <v>96</v>
      </c>
      <c r="K2" s="8">
        <f ca="1">G2-IFERROR(VLOOKUP($A2,'0524'!$A$1:'0524'!H$44,7,FALSE),IFERROR(VLOOKUP($C2,'0524'!$C$1:'0524'!H$44,5,FALSE),G2-E2))</f>
        <v>248</v>
      </c>
      <c r="L2" s="4">
        <f ca="1">IFERROR(K2/J2,)</f>
        <v>2.58333333333333</v>
      </c>
    </row>
    <row r="3" s="2" customFormat="1" spans="1:12">
      <c r="A3" s="2" t="s">
        <v>156</v>
      </c>
      <c r="B3" s="2" t="s">
        <v>10</v>
      </c>
      <c r="C3" s="9">
        <v>45800</v>
      </c>
      <c r="D3" s="2">
        <v>213</v>
      </c>
      <c r="E3" s="2">
        <v>252</v>
      </c>
      <c r="F3" s="2">
        <v>213</v>
      </c>
      <c r="G3" s="2">
        <v>252</v>
      </c>
      <c r="H3" s="4">
        <f t="shared" ref="H3:H30" si="0">E3/D3</f>
        <v>1.1830985915493</v>
      </c>
      <c r="I3" s="4">
        <f t="shared" ref="I3:I30" si="1">G3/F3</f>
        <v>1.1830985915493</v>
      </c>
      <c r="J3" s="7">
        <f ca="1">F3-IFERROR(VLOOKUP($A3,'0524'!$A$1:'0524'!G$48,6,FALSE),IFERROR(VLOOKUP($C3,'0524'!$C$1:'0524'!G$48,4,FALSE),F3-D3))</f>
        <v>62</v>
      </c>
      <c r="K3" s="8">
        <f ca="1">G3-IFERROR(VLOOKUP($A3,'0524'!$A$1:'0524'!H$44,7,FALSE),IFERROR(VLOOKUP($C3,'0524'!$C$1:'0524'!H$44,5,FALSE),G3-E3))</f>
        <v>17</v>
      </c>
      <c r="L3" s="4">
        <f ca="1" t="shared" ref="L3:L30" si="2">IFERROR(K3/J3,)</f>
        <v>0.274193548387097</v>
      </c>
    </row>
    <row r="4" s="2" customFormat="1" spans="1:12">
      <c r="A4" s="2" t="s">
        <v>151</v>
      </c>
      <c r="B4" s="2" t="s">
        <v>10</v>
      </c>
      <c r="C4" s="9">
        <v>45799</v>
      </c>
      <c r="D4" s="2">
        <v>126</v>
      </c>
      <c r="E4" s="2">
        <v>230</v>
      </c>
      <c r="F4" s="2">
        <v>126</v>
      </c>
      <c r="G4" s="2">
        <v>230</v>
      </c>
      <c r="H4" s="4">
        <f t="shared" si="0"/>
        <v>1.82539682539683</v>
      </c>
      <c r="I4" s="4">
        <f t="shared" si="1"/>
        <v>1.82539682539683</v>
      </c>
      <c r="J4" s="7">
        <f ca="1">F4-IFERROR(VLOOKUP($A4,'0524'!$A$1:'0524'!G$48,6,FALSE),IFERROR(VLOOKUP($C4,'0524'!$C$1:'0524'!G$48,4,FALSE),F4-D4))</f>
        <v>21</v>
      </c>
      <c r="K4" s="8">
        <f ca="1">G4-IFERROR(VLOOKUP($A4,'0524'!$A$1:'0524'!H$44,7,FALSE),IFERROR(VLOOKUP($C4,'0524'!$C$1:'0524'!H$44,5,FALSE),G4-E4))</f>
        <v>0</v>
      </c>
      <c r="L4" s="4">
        <f ca="1" t="shared" si="2"/>
        <v>0</v>
      </c>
    </row>
    <row r="5" s="2" customFormat="1" spans="1:12">
      <c r="A5" s="2" t="s">
        <v>148</v>
      </c>
      <c r="B5" s="2" t="s">
        <v>10</v>
      </c>
      <c r="C5" s="9">
        <v>45798</v>
      </c>
      <c r="D5" s="2">
        <v>196</v>
      </c>
      <c r="E5" s="2">
        <v>397</v>
      </c>
      <c r="F5" s="2">
        <v>196</v>
      </c>
      <c r="G5" s="2">
        <v>397</v>
      </c>
      <c r="H5" s="4">
        <f t="shared" si="0"/>
        <v>2.02551020408163</v>
      </c>
      <c r="I5" s="4">
        <f t="shared" si="1"/>
        <v>2.02551020408163</v>
      </c>
      <c r="J5" s="7">
        <f ca="1">F5-IFERROR(VLOOKUP($A5,'0524'!$A$1:'0524'!G$48,6,FALSE),IFERROR(VLOOKUP($C5,'0524'!$C$1:'0524'!G$48,4,FALSE),F5-D5))</f>
        <v>9</v>
      </c>
      <c r="K5" s="8">
        <f ca="1">G5-IFERROR(VLOOKUP($A5,'0524'!$A$1:'0524'!H$44,7,FALSE),IFERROR(VLOOKUP($C5,'0524'!$C$1:'0524'!H$44,5,FALSE),G5-E5))</f>
        <v>6</v>
      </c>
      <c r="L5" s="4">
        <f ca="1" t="shared" si="2"/>
        <v>0.666666666666667</v>
      </c>
    </row>
    <row r="6" s="2" customFormat="1" spans="1:12">
      <c r="A6" s="2" t="s">
        <v>149</v>
      </c>
      <c r="B6" s="2" t="s">
        <v>10</v>
      </c>
      <c r="C6" s="9">
        <v>45798</v>
      </c>
      <c r="D6" s="2">
        <v>223</v>
      </c>
      <c r="E6" s="2">
        <v>242</v>
      </c>
      <c r="F6" s="2">
        <v>223</v>
      </c>
      <c r="G6" s="2">
        <v>242</v>
      </c>
      <c r="H6" s="4">
        <f t="shared" si="0"/>
        <v>1.08520179372197</v>
      </c>
      <c r="I6" s="4">
        <f t="shared" si="1"/>
        <v>1.08520179372197</v>
      </c>
      <c r="J6" s="7">
        <f ca="1">F6-IFERROR(VLOOKUP($A6,'0524'!$A$1:'0524'!G$48,6,FALSE),IFERROR(VLOOKUP($C6,'0524'!$C$1:'0524'!G$48,4,FALSE),F6-D6))</f>
        <v>21</v>
      </c>
      <c r="K6" s="8">
        <f ca="1">G6-IFERROR(VLOOKUP($A6,'0524'!$A$1:'0524'!H$44,7,FALSE),IFERROR(VLOOKUP($C6,'0524'!$C$1:'0524'!H$44,5,FALSE),G6-E6))</f>
        <v>4</v>
      </c>
      <c r="L6" s="4">
        <f ca="1" t="shared" si="2"/>
        <v>0.19047619047619</v>
      </c>
    </row>
    <row r="7" s="2" customFormat="1" spans="1:13">
      <c r="A7" s="2" t="s">
        <v>146</v>
      </c>
      <c r="B7" s="2" t="s">
        <v>10</v>
      </c>
      <c r="C7" s="9">
        <v>45797</v>
      </c>
      <c r="D7" s="2">
        <v>170</v>
      </c>
      <c r="E7" s="2">
        <v>506</v>
      </c>
      <c r="F7" s="2">
        <v>170</v>
      </c>
      <c r="G7" s="2">
        <v>506</v>
      </c>
      <c r="H7" s="4">
        <f t="shared" si="0"/>
        <v>2.97647058823529</v>
      </c>
      <c r="I7" s="4">
        <f t="shared" si="1"/>
        <v>2.97647058823529</v>
      </c>
      <c r="J7" s="7">
        <f ca="1">F7-IFERROR(VLOOKUP($A7,'0524'!$A$1:'0524'!G$48,6,FALSE),IFERROR(VLOOKUP($C7,'0524'!$C$1:'0524'!G$48,4,FALSE),F7-D7))</f>
        <v>31</v>
      </c>
      <c r="K7" s="8">
        <f ca="1">G7-IFERROR(VLOOKUP($A7,'0524'!$A$1:'0524'!H$44,7,FALSE),IFERROR(VLOOKUP($C7,'0524'!$C$1:'0524'!H$44,5,FALSE),G7-E7))</f>
        <v>155</v>
      </c>
      <c r="L7" s="4">
        <f ca="1" t="shared" si="2"/>
        <v>5</v>
      </c>
      <c r="M7" s="2" t="s">
        <v>152</v>
      </c>
    </row>
    <row r="8" s="2" customFormat="1" spans="1:12">
      <c r="A8" s="2" t="s">
        <v>142</v>
      </c>
      <c r="B8" s="2" t="s">
        <v>10</v>
      </c>
      <c r="C8" s="9">
        <v>45796</v>
      </c>
      <c r="D8" s="2">
        <v>136</v>
      </c>
      <c r="E8" s="2">
        <v>276</v>
      </c>
      <c r="F8" s="2">
        <v>136</v>
      </c>
      <c r="G8" s="2">
        <v>276</v>
      </c>
      <c r="H8" s="4">
        <f t="shared" si="0"/>
        <v>2.02941176470588</v>
      </c>
      <c r="I8" s="4">
        <f t="shared" si="1"/>
        <v>2.02941176470588</v>
      </c>
      <c r="J8" s="7">
        <f ca="1">F8-IFERROR(VLOOKUP($A8,'0524'!$A$1:'0524'!G$48,6,FALSE),IFERROR(VLOOKUP($C8,'0524'!$C$1:'0524'!G$48,4,FALSE),F8-D8))</f>
        <v>0</v>
      </c>
      <c r="K8" s="8">
        <f ca="1">G8-IFERROR(VLOOKUP($A8,'0524'!$A$1:'0524'!H$44,7,FALSE),IFERROR(VLOOKUP($C8,'0524'!$C$1:'0524'!H$44,5,FALSE),G8-E8))</f>
        <v>0</v>
      </c>
      <c r="L8" s="4">
        <f ca="1" t="shared" si="2"/>
        <v>0</v>
      </c>
    </row>
    <row r="9" s="2" customFormat="1" spans="1:12">
      <c r="A9" s="2" t="s">
        <v>132</v>
      </c>
      <c r="B9" s="2" t="s">
        <v>10</v>
      </c>
      <c r="C9" s="9">
        <v>45795</v>
      </c>
      <c r="D9" s="2">
        <v>199</v>
      </c>
      <c r="E9" s="2">
        <v>211</v>
      </c>
      <c r="F9" s="2">
        <v>199</v>
      </c>
      <c r="G9" s="2">
        <v>211</v>
      </c>
      <c r="H9" s="4">
        <f t="shared" si="0"/>
        <v>1.06030150753769</v>
      </c>
      <c r="I9" s="4">
        <f t="shared" si="1"/>
        <v>1.06030150753769</v>
      </c>
      <c r="J9" s="7">
        <f ca="1">F9-IFERROR(VLOOKUP($A9,'0524'!$A$1:'0524'!G$48,6,FALSE),IFERROR(VLOOKUP($C9,'0524'!$C$1:'0524'!G$48,4,FALSE),F9-D9))</f>
        <v>4</v>
      </c>
      <c r="K9" s="8">
        <f ca="1">G9-IFERROR(VLOOKUP($A9,'0524'!$A$1:'0524'!H$44,7,FALSE),IFERROR(VLOOKUP($C9,'0524'!$C$1:'0524'!H$44,5,FALSE),G9-E9))</f>
        <v>0</v>
      </c>
      <c r="L9" s="4">
        <f ca="1" t="shared" si="2"/>
        <v>0</v>
      </c>
    </row>
    <row r="10" s="2" customFormat="1" spans="1:13">
      <c r="A10" s="2" t="s">
        <v>129</v>
      </c>
      <c r="B10" s="2" t="s">
        <v>10</v>
      </c>
      <c r="C10" s="9">
        <v>45794</v>
      </c>
      <c r="D10" s="2">
        <v>124</v>
      </c>
      <c r="E10" s="2">
        <v>120</v>
      </c>
      <c r="F10" s="2">
        <v>203</v>
      </c>
      <c r="G10" s="2">
        <v>286</v>
      </c>
      <c r="H10" s="4">
        <f t="shared" si="0"/>
        <v>0.967741935483871</v>
      </c>
      <c r="I10" s="4">
        <f t="shared" si="1"/>
        <v>1.40886699507389</v>
      </c>
      <c r="J10" s="7">
        <f ca="1">F10-IFERROR(VLOOKUP($A10,'0524'!$A$1:'0524'!G$48,6,FALSE),IFERROR(VLOOKUP($C10,'0524'!$C$1:'0524'!G$48,4,FALSE),F10-D10))</f>
        <v>0</v>
      </c>
      <c r="K10" s="8">
        <f ca="1">G10-IFERROR(VLOOKUP($A10,'0524'!$A$1:'0524'!H$44,7,FALSE),IFERROR(VLOOKUP($C10,'0524'!$C$1:'0524'!H$44,5,FALSE),G10-E10))</f>
        <v>0</v>
      </c>
      <c r="L10" s="4">
        <f ca="1" t="shared" si="2"/>
        <v>0</v>
      </c>
      <c r="M10" s="2" t="s">
        <v>143</v>
      </c>
    </row>
    <row r="11" s="2" customFormat="1" spans="1:12">
      <c r="A11" s="2" t="s">
        <v>130</v>
      </c>
      <c r="B11" s="2" t="s">
        <v>10</v>
      </c>
      <c r="C11" s="9">
        <v>45794</v>
      </c>
      <c r="D11" s="2">
        <v>38200</v>
      </c>
      <c r="E11" s="2">
        <v>11468</v>
      </c>
      <c r="F11" s="2">
        <v>38335</v>
      </c>
      <c r="G11" s="2">
        <v>11724</v>
      </c>
      <c r="H11" s="4">
        <f t="shared" si="0"/>
        <v>0.30020942408377</v>
      </c>
      <c r="I11" s="4">
        <f t="shared" si="1"/>
        <v>0.305830181296465</v>
      </c>
      <c r="J11" s="7">
        <f ca="1">F11-IFERROR(VLOOKUP($A11,'0524'!$A$1:'0524'!G$48,6,FALSE),IFERROR(VLOOKUP($C11,'0524'!$C$1:'0524'!G$48,4,FALSE),F11-D11))</f>
        <v>643</v>
      </c>
      <c r="K11" s="8">
        <f ca="1">G11-IFERROR(VLOOKUP($A11,'0524'!$A$1:'0524'!H$44,7,FALSE),IFERROR(VLOOKUP($C11,'0524'!$C$1:'0524'!H$44,5,FALSE),G11-E11))</f>
        <v>246</v>
      </c>
      <c r="L11" s="4">
        <f ca="1" t="shared" si="2"/>
        <v>0.382581648522551</v>
      </c>
    </row>
    <row r="12" s="2" customFormat="1" spans="1:12">
      <c r="A12" s="2" t="s">
        <v>120</v>
      </c>
      <c r="B12" s="2" t="s">
        <v>10</v>
      </c>
      <c r="C12" s="9">
        <v>45793</v>
      </c>
      <c r="D12" s="2">
        <v>92</v>
      </c>
      <c r="E12" s="2">
        <v>49</v>
      </c>
      <c r="F12" s="2">
        <v>247</v>
      </c>
      <c r="G12" s="2">
        <v>472</v>
      </c>
      <c r="H12" s="4">
        <f t="shared" si="0"/>
        <v>0.532608695652174</v>
      </c>
      <c r="I12" s="4">
        <f t="shared" si="1"/>
        <v>1.91093117408907</v>
      </c>
      <c r="J12" s="7">
        <f ca="1">F12-IFERROR(VLOOKUP($A12,'0524'!$A$1:'0524'!G$48,6,FALSE),IFERROR(VLOOKUP($C12,'0524'!$C$1:'0524'!G$48,4,FALSE),F12-D12))</f>
        <v>5</v>
      </c>
      <c r="K12" s="8">
        <f ca="1">G12-IFERROR(VLOOKUP($A12,'0524'!$A$1:'0524'!H$44,7,FALSE),IFERROR(VLOOKUP($C12,'0524'!$C$1:'0524'!H$44,5,FALSE),G12-E12))</f>
        <v>12</v>
      </c>
      <c r="L12" s="4">
        <f ca="1" t="shared" si="2"/>
        <v>2.4</v>
      </c>
    </row>
    <row r="13" s="2" customFormat="1" spans="1:12">
      <c r="A13" s="2" t="s">
        <v>121</v>
      </c>
      <c r="B13" s="2" t="s">
        <v>10</v>
      </c>
      <c r="C13" s="9">
        <v>45793</v>
      </c>
      <c r="D13" s="2">
        <v>63</v>
      </c>
      <c r="E13" s="2">
        <v>16</v>
      </c>
      <c r="F13" s="2">
        <v>178</v>
      </c>
      <c r="G13" s="2">
        <v>207</v>
      </c>
      <c r="H13" s="4">
        <f t="shared" si="0"/>
        <v>0.253968253968254</v>
      </c>
      <c r="I13" s="4">
        <f t="shared" si="1"/>
        <v>1.16292134831461</v>
      </c>
      <c r="J13" s="7">
        <f ca="1">F13-IFERROR(VLOOKUP($A13,'0524'!$A$1:'0524'!G$48,6,FALSE),IFERROR(VLOOKUP($C13,'0524'!$C$1:'0524'!G$48,4,FALSE),F13-D13))</f>
        <v>0</v>
      </c>
      <c r="K13" s="8">
        <f ca="1">G13-IFERROR(VLOOKUP($A13,'0524'!$A$1:'0524'!H$44,7,FALSE),IFERROR(VLOOKUP($C13,'0524'!$C$1:'0524'!H$44,5,FALSE),G13-E13))</f>
        <v>0</v>
      </c>
      <c r="L13" s="4">
        <f ca="1" t="shared" si="2"/>
        <v>0</v>
      </c>
    </row>
    <row r="14" s="2" customFormat="1" spans="1:13">
      <c r="A14" s="2" t="s">
        <v>116</v>
      </c>
      <c r="B14" s="2" t="s">
        <v>10</v>
      </c>
      <c r="C14" s="9">
        <v>45792</v>
      </c>
      <c r="D14" s="2">
        <v>76</v>
      </c>
      <c r="E14" s="2">
        <v>427</v>
      </c>
      <c r="F14" s="2">
        <v>181</v>
      </c>
      <c r="G14" s="2">
        <v>753</v>
      </c>
      <c r="H14" s="4">
        <f t="shared" si="0"/>
        <v>5.61842105263158</v>
      </c>
      <c r="I14" s="4">
        <f t="shared" si="1"/>
        <v>4.16022099447514</v>
      </c>
      <c r="J14" s="7">
        <f ca="1">F14-IFERROR(VLOOKUP($A14,'0524'!$A$1:'0524'!G$48,6,FALSE),IFERROR(VLOOKUP($C14,'0524'!$C$1:'0524'!G$48,4,FALSE),F14-D14))</f>
        <v>6</v>
      </c>
      <c r="K14" s="8">
        <f ca="1">G14-IFERROR(VLOOKUP($A14,'0524'!$A$1:'0524'!H$44,7,FALSE),IFERROR(VLOOKUP($C14,'0524'!$C$1:'0524'!H$44,5,FALSE),G14-E14))</f>
        <v>35</v>
      </c>
      <c r="L14" s="4">
        <f ca="1" t="shared" si="2"/>
        <v>5.83333333333333</v>
      </c>
      <c r="M14" s="2" t="s">
        <v>133</v>
      </c>
    </row>
    <row r="15" s="2" customFormat="1" spans="1:12">
      <c r="A15" s="2" t="s">
        <v>112</v>
      </c>
      <c r="B15" s="2" t="s">
        <v>10</v>
      </c>
      <c r="C15" s="9">
        <v>45791</v>
      </c>
      <c r="D15" s="2">
        <v>53</v>
      </c>
      <c r="E15" s="2">
        <v>8</v>
      </c>
      <c r="F15" s="2">
        <v>332</v>
      </c>
      <c r="G15" s="2">
        <v>177</v>
      </c>
      <c r="H15" s="4">
        <f t="shared" si="0"/>
        <v>0.150943396226415</v>
      </c>
      <c r="I15" s="4">
        <f t="shared" si="1"/>
        <v>0.533132530120482</v>
      </c>
      <c r="J15" s="7">
        <f ca="1">F15-IFERROR(VLOOKUP($A15,'0524'!$A$1:'0524'!G$48,6,FALSE),IFERROR(VLOOKUP($C15,'0524'!$C$1:'0524'!G$48,4,FALSE),F15-D15))</f>
        <v>9</v>
      </c>
      <c r="K15" s="8">
        <f ca="1">G15-IFERROR(VLOOKUP($A15,'0524'!$A$1:'0524'!H$44,7,FALSE),IFERROR(VLOOKUP($C15,'0524'!$C$1:'0524'!H$44,5,FALSE),G15-E15))</f>
        <v>0</v>
      </c>
      <c r="L15" s="4">
        <f ca="1" t="shared" si="2"/>
        <v>0</v>
      </c>
    </row>
    <row r="16" s="2" customFormat="1" spans="1:12">
      <c r="A16" s="2" t="s">
        <v>107</v>
      </c>
      <c r="B16" s="2" t="s">
        <v>10</v>
      </c>
      <c r="C16" s="9">
        <v>45790</v>
      </c>
      <c r="D16" s="2">
        <v>33</v>
      </c>
      <c r="E16" s="2">
        <v>6</v>
      </c>
      <c r="F16" s="2">
        <v>341</v>
      </c>
      <c r="G16" s="2">
        <v>312</v>
      </c>
      <c r="H16" s="4">
        <f t="shared" si="0"/>
        <v>0.181818181818182</v>
      </c>
      <c r="I16" s="4">
        <f t="shared" si="1"/>
        <v>0.914956011730205</v>
      </c>
      <c r="J16" s="7">
        <f ca="1">F16-IFERROR(VLOOKUP($A16,'0524'!$A$1:'0524'!G$48,6,FALSE),IFERROR(VLOOKUP($C16,'0524'!$C$1:'0524'!G$48,4,FALSE),F16-D16))</f>
        <v>0</v>
      </c>
      <c r="K16" s="8">
        <f ca="1">G16-IFERROR(VLOOKUP($A16,'0524'!$A$1:'0524'!H$44,7,FALSE),IFERROR(VLOOKUP($C16,'0524'!$C$1:'0524'!H$44,5,FALSE),G16-E16))</f>
        <v>0</v>
      </c>
      <c r="L16" s="4">
        <f ca="1" t="shared" si="2"/>
        <v>0</v>
      </c>
    </row>
    <row r="17" s="2" customFormat="1" spans="1:13">
      <c r="A17" s="2" t="s">
        <v>108</v>
      </c>
      <c r="B17" s="2" t="s">
        <v>10</v>
      </c>
      <c r="C17" s="9">
        <v>45790</v>
      </c>
      <c r="D17" s="2">
        <v>35</v>
      </c>
      <c r="E17" s="2">
        <v>18</v>
      </c>
      <c r="F17" s="2">
        <v>5506</v>
      </c>
      <c r="G17" s="2">
        <v>1217</v>
      </c>
      <c r="H17" s="4">
        <f t="shared" si="0"/>
        <v>0.514285714285714</v>
      </c>
      <c r="I17" s="4">
        <f t="shared" si="1"/>
        <v>0.221031601888849</v>
      </c>
      <c r="J17" s="7">
        <f ca="1">F17-IFERROR(VLOOKUP($A17,'0524'!$A$1:'0524'!G$48,6,FALSE),IFERROR(VLOOKUP($C17,'0524'!$C$1:'0524'!G$48,4,FALSE),F17-D17))</f>
        <v>2</v>
      </c>
      <c r="K17" s="8">
        <f ca="1">G17-IFERROR(VLOOKUP($A17,'0524'!$A$1:'0524'!H$44,7,FALSE),IFERROR(VLOOKUP($C17,'0524'!$C$1:'0524'!H$44,5,FALSE),G17-E17))</f>
        <v>0</v>
      </c>
      <c r="L17" s="4">
        <f ca="1" t="shared" si="2"/>
        <v>0</v>
      </c>
      <c r="M17" s="2" t="s">
        <v>109</v>
      </c>
    </row>
    <row r="18" s="2" customFormat="1" spans="1:13">
      <c r="A18" s="2" t="s">
        <v>105</v>
      </c>
      <c r="B18" s="2" t="s">
        <v>10</v>
      </c>
      <c r="C18" s="9">
        <v>45789</v>
      </c>
      <c r="D18" s="2">
        <v>58</v>
      </c>
      <c r="E18" s="2">
        <v>57</v>
      </c>
      <c r="F18" s="2">
        <v>227</v>
      </c>
      <c r="G18" s="2">
        <v>570</v>
      </c>
      <c r="H18" s="4">
        <f t="shared" si="0"/>
        <v>0.982758620689655</v>
      </c>
      <c r="I18" s="4">
        <f t="shared" si="1"/>
        <v>2.51101321585903</v>
      </c>
      <c r="J18" s="7">
        <f ca="1">F18-IFERROR(VLOOKUP($A18,'0524'!$A$1:'0524'!G$48,6,FALSE),IFERROR(VLOOKUP($C18,'0524'!$C$1:'0524'!G$48,4,FALSE),F18-D18))</f>
        <v>16</v>
      </c>
      <c r="K18" s="8">
        <f ca="1">G18-IFERROR(VLOOKUP($A18,'0524'!$A$1:'0524'!H$44,7,FALSE),IFERROR(VLOOKUP($C18,'0524'!$C$1:'0524'!H$44,5,FALSE),G18-E18))</f>
        <v>0</v>
      </c>
      <c r="L18" s="4">
        <f ca="1" t="shared" si="2"/>
        <v>0</v>
      </c>
      <c r="M18" s="2" t="s">
        <v>131</v>
      </c>
    </row>
    <row r="19" s="2" customFormat="1" spans="1:13">
      <c r="A19" s="2" t="s">
        <v>88</v>
      </c>
      <c r="B19" s="2" t="s">
        <v>10</v>
      </c>
      <c r="C19" s="9">
        <v>45785</v>
      </c>
      <c r="D19" s="2">
        <v>15</v>
      </c>
      <c r="E19" s="2">
        <v>4</v>
      </c>
      <c r="F19" s="2">
        <v>323</v>
      </c>
      <c r="G19" s="2">
        <v>199</v>
      </c>
      <c r="H19" s="4">
        <f t="shared" si="0"/>
        <v>0.266666666666667</v>
      </c>
      <c r="I19" s="4">
        <f t="shared" si="1"/>
        <v>0.61609907120743</v>
      </c>
      <c r="J19" s="7">
        <f ca="1">F19-IFERROR(VLOOKUP($A19,'0524'!$A$1:'0524'!G$48,6,FALSE),IFERROR(VLOOKUP($C19,'0524'!$C$1:'0524'!G$48,4,FALSE),F19-D19))</f>
        <v>1</v>
      </c>
      <c r="K19" s="8">
        <f ca="1">G19-IFERROR(VLOOKUP($A19,'0524'!$A$1:'0524'!H$44,7,FALSE),IFERROR(VLOOKUP($C19,'0524'!$C$1:'0524'!H$44,5,FALSE),G19-E19))</f>
        <v>0</v>
      </c>
      <c r="L19" s="4">
        <f ca="1" t="shared" si="2"/>
        <v>0</v>
      </c>
      <c r="M19" s="2" t="s">
        <v>153</v>
      </c>
    </row>
    <row r="20" s="2" customFormat="1" spans="1:12">
      <c r="A20" s="2" t="s">
        <v>77</v>
      </c>
      <c r="B20" s="2" t="s">
        <v>10</v>
      </c>
      <c r="C20" s="9">
        <v>45782</v>
      </c>
      <c r="D20" s="2">
        <v>22</v>
      </c>
      <c r="E20" s="2">
        <v>17</v>
      </c>
      <c r="F20" s="2">
        <v>389</v>
      </c>
      <c r="G20" s="2">
        <v>237</v>
      </c>
      <c r="H20" s="4">
        <f t="shared" si="0"/>
        <v>0.772727272727273</v>
      </c>
      <c r="I20" s="4">
        <f t="shared" si="1"/>
        <v>0.609254498714653</v>
      </c>
      <c r="J20" s="7">
        <f ca="1">F20-IFERROR(VLOOKUP($A20,'0524'!$A$1:'0524'!G$48,6,FALSE),IFERROR(VLOOKUP($C20,'0524'!$C$1:'0524'!G$48,4,FALSE),F20-D20))</f>
        <v>1</v>
      </c>
      <c r="K20" s="8">
        <f ca="1">G20-IFERROR(VLOOKUP($A20,'0524'!$A$1:'0524'!H$44,7,FALSE),IFERROR(VLOOKUP($C20,'0524'!$C$1:'0524'!H$44,5,FALSE),G20-E20))</f>
        <v>0</v>
      </c>
      <c r="L20" s="4">
        <f ca="1" t="shared" si="2"/>
        <v>0</v>
      </c>
    </row>
    <row r="21" s="2" customFormat="1" spans="1:12">
      <c r="A21" s="2" t="s">
        <v>134</v>
      </c>
      <c r="B21" s="2" t="s">
        <v>10</v>
      </c>
      <c r="C21" s="9">
        <v>45780</v>
      </c>
      <c r="D21" s="2">
        <v>454</v>
      </c>
      <c r="E21" s="2">
        <v>37</v>
      </c>
      <c r="F21" s="2">
        <v>1791</v>
      </c>
      <c r="G21" s="2">
        <v>598</v>
      </c>
      <c r="H21" s="4">
        <f t="shared" si="0"/>
        <v>0.0814977973568282</v>
      </c>
      <c r="I21" s="4">
        <f t="shared" si="1"/>
        <v>0.333891680625349</v>
      </c>
      <c r="J21" s="7">
        <f ca="1">F21-IFERROR(VLOOKUP($A21,'0524'!$A$1:'0524'!G$48,6,FALSE),IFERROR(VLOOKUP($C21,'0524'!$C$1:'0524'!G$48,4,FALSE),F21-D21))</f>
        <v>27</v>
      </c>
      <c r="K21" s="8">
        <f ca="1">G21-IFERROR(VLOOKUP($A21,'0524'!$A$1:'0524'!H$44,7,FALSE),IFERROR(VLOOKUP($C21,'0524'!$C$1:'0524'!H$44,5,FALSE),G21-E21))</f>
        <v>0</v>
      </c>
      <c r="L21" s="4">
        <f ca="1" t="shared" si="2"/>
        <v>0</v>
      </c>
    </row>
    <row r="22" s="2" customFormat="1" spans="1:12">
      <c r="A22" s="2" t="s">
        <v>27</v>
      </c>
      <c r="B22" s="2" t="s">
        <v>10</v>
      </c>
      <c r="C22" s="9">
        <v>45769</v>
      </c>
      <c r="D22" s="2">
        <v>27</v>
      </c>
      <c r="E22" s="2">
        <v>7</v>
      </c>
      <c r="F22" s="2">
        <v>674</v>
      </c>
      <c r="G22" s="2">
        <v>369</v>
      </c>
      <c r="H22" s="4">
        <f t="shared" si="0"/>
        <v>0.259259259259259</v>
      </c>
      <c r="I22" s="4">
        <f t="shared" si="1"/>
        <v>0.547477744807122</v>
      </c>
      <c r="J22" s="7">
        <f ca="1">F22-IFERROR(VLOOKUP($A22,'0524'!$A$1:'0524'!G$48,6,FALSE),IFERROR(VLOOKUP($C22,'0524'!$C$1:'0524'!G$48,4,FALSE),F22-D22))</f>
        <v>0</v>
      </c>
      <c r="K22" s="8">
        <f ca="1">G22-IFERROR(VLOOKUP($A22,'0524'!$A$1:'0524'!H$44,7,FALSE),IFERROR(VLOOKUP($C22,'0524'!$C$1:'0524'!H$44,5,FALSE),G22-E22))</f>
        <v>0</v>
      </c>
      <c r="L22" s="4">
        <f ca="1" t="shared" si="2"/>
        <v>0</v>
      </c>
    </row>
    <row r="23" s="2" customFormat="1" spans="1:13">
      <c r="A23" s="2" t="s">
        <v>31</v>
      </c>
      <c r="B23" s="2" t="s">
        <v>10</v>
      </c>
      <c r="C23" s="9">
        <v>45767</v>
      </c>
      <c r="D23" s="2">
        <v>23</v>
      </c>
      <c r="E23" s="2">
        <v>7</v>
      </c>
      <c r="F23" s="2">
        <v>1205</v>
      </c>
      <c r="G23" s="2">
        <v>297</v>
      </c>
      <c r="H23" s="4">
        <f t="shared" si="0"/>
        <v>0.304347826086957</v>
      </c>
      <c r="I23" s="4">
        <f t="shared" si="1"/>
        <v>0.246473029045643</v>
      </c>
      <c r="J23" s="7">
        <f ca="1">F23-IFERROR(VLOOKUP($A23,'0524'!$A$1:'0524'!G$48,6,FALSE),IFERROR(VLOOKUP($C23,'0524'!$C$1:'0524'!G$48,4,FALSE),F23-D23))</f>
        <v>1</v>
      </c>
      <c r="K23" s="8">
        <f ca="1">G23-IFERROR(VLOOKUP($A23,'0524'!$A$1:'0524'!H$44,7,FALSE),IFERROR(VLOOKUP($C23,'0524'!$C$1:'0524'!H$44,5,FALSE),G23-E23))</f>
        <v>0</v>
      </c>
      <c r="L23" s="4">
        <f ca="1" t="shared" si="2"/>
        <v>0</v>
      </c>
      <c r="M23" s="2" t="s">
        <v>144</v>
      </c>
    </row>
    <row r="24" s="2" customFormat="1" spans="1:13">
      <c r="A24" s="2" t="s">
        <v>44</v>
      </c>
      <c r="B24" s="2" t="s">
        <v>10</v>
      </c>
      <c r="C24" s="9">
        <v>45761</v>
      </c>
      <c r="D24" s="2">
        <v>40</v>
      </c>
      <c r="E24" s="2">
        <v>5</v>
      </c>
      <c r="F24" s="2">
        <v>1134</v>
      </c>
      <c r="G24" s="2">
        <v>956</v>
      </c>
      <c r="H24" s="4">
        <f t="shared" si="0"/>
        <v>0.125</v>
      </c>
      <c r="I24" s="4">
        <f t="shared" si="1"/>
        <v>0.843033509700176</v>
      </c>
      <c r="J24" s="7">
        <f ca="1">F24-IFERROR(VLOOKUP($A24,'0524'!$A$1:'0524'!G$48,6,FALSE),IFERROR(VLOOKUP($C24,'0524'!$C$1:'0524'!G$48,4,FALSE),F24-D24))</f>
        <v>2</v>
      </c>
      <c r="K24" s="8">
        <f ca="1">G24-IFERROR(VLOOKUP($A24,'0524'!$A$1:'0524'!H$44,7,FALSE),IFERROR(VLOOKUP($C24,'0524'!$C$1:'0524'!H$44,5,FALSE),G24-E24))</f>
        <v>0</v>
      </c>
      <c r="L24" s="4">
        <f ca="1" t="shared" si="2"/>
        <v>0</v>
      </c>
      <c r="M24" s="2" t="s">
        <v>150</v>
      </c>
    </row>
    <row r="25" s="2" customFormat="1" spans="1:13">
      <c r="A25" s="2" t="s">
        <v>73</v>
      </c>
      <c r="B25" s="2" t="s">
        <v>10</v>
      </c>
      <c r="C25" s="9">
        <v>45755</v>
      </c>
      <c r="D25" s="2">
        <v>15</v>
      </c>
      <c r="E25" s="2">
        <v>5</v>
      </c>
      <c r="F25" s="2">
        <v>484</v>
      </c>
      <c r="G25" s="2">
        <v>526</v>
      </c>
      <c r="H25" s="4">
        <f t="shared" si="0"/>
        <v>0.333333333333333</v>
      </c>
      <c r="I25" s="4">
        <f t="shared" si="1"/>
        <v>1.08677685950413</v>
      </c>
      <c r="J25" s="7">
        <f ca="1">F25-IFERROR(VLOOKUP($A25,'0524'!$A$1:'0524'!G$48,6,FALSE),IFERROR(VLOOKUP($C25,'0524'!$C$1:'0524'!G$48,4,FALSE),F25-D25))</f>
        <v>0</v>
      </c>
      <c r="K25" s="8">
        <f ca="1">G25-IFERROR(VLOOKUP($A25,'0524'!$A$1:'0524'!H$44,7,FALSE),IFERROR(VLOOKUP($C25,'0524'!$C$1:'0524'!H$44,5,FALSE),G25-E25))</f>
        <v>0</v>
      </c>
      <c r="L25" s="4">
        <f ca="1" t="shared" si="2"/>
        <v>0</v>
      </c>
      <c r="M25" s="2" t="s">
        <v>145</v>
      </c>
    </row>
    <row r="26" s="2" customFormat="1" spans="1:13">
      <c r="A26" s="2" t="s">
        <v>52</v>
      </c>
      <c r="B26" s="2" t="s">
        <v>10</v>
      </c>
      <c r="C26" s="9">
        <v>45743</v>
      </c>
      <c r="D26" s="2">
        <v>89</v>
      </c>
      <c r="E26" s="2">
        <v>10</v>
      </c>
      <c r="F26" s="2">
        <v>5270</v>
      </c>
      <c r="G26" s="2">
        <v>2101</v>
      </c>
      <c r="H26" s="4">
        <f t="shared" si="0"/>
        <v>0.112359550561798</v>
      </c>
      <c r="I26" s="4">
        <f t="shared" si="1"/>
        <v>0.398671726755218</v>
      </c>
      <c r="J26" s="7">
        <f ca="1">F26-IFERROR(VLOOKUP($A26,'0524'!$A$1:'0524'!G$48,6,FALSE),IFERROR(VLOOKUP($C26,'0524'!$C$1:'0524'!G$48,4,FALSE),F26-D26))</f>
        <v>89</v>
      </c>
      <c r="K26" s="8">
        <f ca="1">G26-IFERROR(VLOOKUP($A26,'0524'!$A$1:'0524'!H$44,7,FALSE),IFERROR(VLOOKUP($C26,'0524'!$C$1:'0524'!H$44,5,FALSE),G26-E26))</f>
        <v>10</v>
      </c>
      <c r="L26" s="4">
        <f ca="1" t="shared" si="2"/>
        <v>0.112359550561798</v>
      </c>
      <c r="M26" s="2" t="s">
        <v>159</v>
      </c>
    </row>
    <row r="27" s="2" customFormat="1" spans="1:13">
      <c r="A27" s="2" t="s">
        <v>54</v>
      </c>
      <c r="B27" s="2" t="s">
        <v>10</v>
      </c>
      <c r="C27" s="9">
        <v>45741</v>
      </c>
      <c r="D27" s="2">
        <v>23</v>
      </c>
      <c r="E27" s="2">
        <v>5</v>
      </c>
      <c r="F27" s="2">
        <v>1394</v>
      </c>
      <c r="G27" s="2">
        <v>697</v>
      </c>
      <c r="H27" s="4">
        <f t="shared" si="0"/>
        <v>0.217391304347826</v>
      </c>
      <c r="I27" s="4">
        <f t="shared" si="1"/>
        <v>0.5</v>
      </c>
      <c r="J27" s="7">
        <f ca="1">F27-IFERROR(VLOOKUP($A27,'0524'!$A$1:'0524'!G$48,6,FALSE),IFERROR(VLOOKUP($C27,'0524'!$C$1:'0524'!G$48,4,FALSE),F27-D27))</f>
        <v>2</v>
      </c>
      <c r="K27" s="8">
        <f ca="1">G27-IFERROR(VLOOKUP($A27,'0524'!$A$1:'0524'!H$44,7,FALSE),IFERROR(VLOOKUP($C27,'0524'!$C$1:'0524'!H$44,5,FALSE),G27-E27))</f>
        <v>0</v>
      </c>
      <c r="L27" s="4">
        <f ca="1" t="shared" si="2"/>
        <v>0</v>
      </c>
      <c r="M27" s="2" t="s">
        <v>135</v>
      </c>
    </row>
    <row r="28" s="2" customFormat="1" spans="1:13">
      <c r="A28" s="2" t="s">
        <v>56</v>
      </c>
      <c r="B28" s="2" t="s">
        <v>10</v>
      </c>
      <c r="C28" s="9">
        <v>45734</v>
      </c>
      <c r="D28" s="2">
        <v>21</v>
      </c>
      <c r="E28" s="2">
        <v>10</v>
      </c>
      <c r="F28" s="2">
        <v>544</v>
      </c>
      <c r="G28" s="2">
        <v>690</v>
      </c>
      <c r="H28" s="4">
        <f t="shared" si="0"/>
        <v>0.476190476190476</v>
      </c>
      <c r="I28" s="4">
        <f t="shared" si="1"/>
        <v>1.26838235294118</v>
      </c>
      <c r="J28" s="7">
        <f ca="1">F28-IFERROR(VLOOKUP($A28,'0524'!$A$1:'0524'!G$48,6,FALSE),IFERROR(VLOOKUP($C28,'0524'!$C$1:'0524'!G$48,4,FALSE),F28-D28))</f>
        <v>2</v>
      </c>
      <c r="K28" s="8">
        <f ca="1">G28-IFERROR(VLOOKUP($A28,'0524'!$A$1:'0524'!H$44,7,FALSE),IFERROR(VLOOKUP($C28,'0524'!$C$1:'0524'!H$44,5,FALSE),G28-E28))</f>
        <v>0</v>
      </c>
      <c r="L28" s="4">
        <f ca="1" t="shared" si="2"/>
        <v>0</v>
      </c>
      <c r="M28" s="2" t="s">
        <v>147</v>
      </c>
    </row>
    <row r="29" s="2" customFormat="1" spans="1:13">
      <c r="A29" s="2" t="s">
        <v>154</v>
      </c>
      <c r="B29" s="2" t="s">
        <v>10</v>
      </c>
      <c r="C29" s="9">
        <v>45619</v>
      </c>
      <c r="D29" s="2">
        <v>64</v>
      </c>
      <c r="E29" s="2">
        <v>4</v>
      </c>
      <c r="F29" s="2">
        <v>1833</v>
      </c>
      <c r="G29" s="2">
        <v>845</v>
      </c>
      <c r="H29" s="4">
        <f t="shared" si="0"/>
        <v>0.0625</v>
      </c>
      <c r="I29" s="4">
        <f t="shared" si="1"/>
        <v>0.460992907801418</v>
      </c>
      <c r="J29" s="7">
        <f ca="1">F29-IFERROR(VLOOKUP($A29,'0524'!$A$1:'0524'!G$48,6,FALSE),IFERROR(VLOOKUP($C29,'0524'!$C$1:'0524'!G$48,4,FALSE),F29-D29))</f>
        <v>9</v>
      </c>
      <c r="K29" s="8">
        <f ca="1">G29-IFERROR(VLOOKUP($A29,'0524'!$A$1:'0524'!H$44,7,FALSE),IFERROR(VLOOKUP($C29,'0524'!$C$1:'0524'!H$44,5,FALSE),G29-E29))</f>
        <v>0</v>
      </c>
      <c r="L29" s="4">
        <f ca="1" t="shared" si="2"/>
        <v>0</v>
      </c>
      <c r="M29" s="2" t="s">
        <v>155</v>
      </c>
    </row>
    <row r="30" s="2" customFormat="1" spans="1:13">
      <c r="A30" s="2" t="s">
        <v>136</v>
      </c>
      <c r="B30" s="2" t="s">
        <v>10</v>
      </c>
      <c r="C30" s="9">
        <v>45609</v>
      </c>
      <c r="D30" s="2">
        <v>45</v>
      </c>
      <c r="E30" s="2">
        <v>1</v>
      </c>
      <c r="F30" s="2">
        <v>2637</v>
      </c>
      <c r="G30" s="2">
        <v>890</v>
      </c>
      <c r="H30" s="4">
        <f t="shared" si="0"/>
        <v>0.0222222222222222</v>
      </c>
      <c r="I30" s="4">
        <f t="shared" si="1"/>
        <v>0.337504740235116</v>
      </c>
      <c r="J30" s="7">
        <f ca="1">F30-IFERROR(VLOOKUP($A30,'0524'!$A$1:'0524'!G$48,6,FALSE),IFERROR(VLOOKUP($C30,'0524'!$C$1:'0524'!G$48,4,FALSE),F30-D30))</f>
        <v>6</v>
      </c>
      <c r="K30" s="8">
        <f ca="1">G30-IFERROR(VLOOKUP($A30,'0524'!$A$1:'0524'!H$44,7,FALSE),IFERROR(VLOOKUP($C30,'0524'!$C$1:'0524'!H$44,5,FALSE),G30-E30))</f>
        <v>0</v>
      </c>
      <c r="L30" s="4">
        <f ca="1" t="shared" si="2"/>
        <v>0</v>
      </c>
      <c r="M30" s="2" t="s">
        <v>137</v>
      </c>
    </row>
    <row r="31" spans="11:11">
      <c r="K31" s="2">
        <f ca="1">SUM(K2:K30)</f>
        <v>733</v>
      </c>
    </row>
    <row r="33" spans="13:13">
      <c r="M33" s="12" t="s">
        <v>139</v>
      </c>
    </row>
    <row r="37" spans="8:12">
      <c r="H37" s="10">
        <v>2.08823529411765</v>
      </c>
      <c r="I37" s="10">
        <v>6.54054054054054</v>
      </c>
      <c r="J37" s="11">
        <v>2</v>
      </c>
      <c r="K37" s="11">
        <v>0</v>
      </c>
      <c r="L37" s="10">
        <v>0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A25" sqref="$A25:$XFD25"/>
    </sheetView>
  </sheetViews>
  <sheetFormatPr defaultColWidth="10" defaultRowHeight="14.4"/>
  <cols>
    <col min="1" max="1" width="45.7777777777778" style="2" customWidth="1"/>
    <col min="2" max="2" width="10" style="2" hidden="1" customWidth="1"/>
    <col min="3" max="3" width="10.6666666666667" style="2" customWidth="1"/>
    <col min="4" max="7" width="6" style="2" customWidth="1"/>
    <col min="8" max="9" width="6.77777777777778" style="2" customWidth="1"/>
    <col min="10" max="10" width="7.66666666666667" style="2" customWidth="1"/>
    <col min="11" max="12" width="6.77777777777778" style="2" customWidth="1"/>
    <col min="13" max="13" width="18.6666666666667" style="2" customWidth="1"/>
    <col min="14" max="16384" width="10" style="2"/>
  </cols>
  <sheetData>
    <row r="1" s="2" customForma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J1" s="5" t="s">
        <v>7</v>
      </c>
      <c r="K1" s="5" t="s">
        <v>8</v>
      </c>
      <c r="M1" s="6" t="s">
        <v>157</v>
      </c>
    </row>
    <row r="2" s="2" customFormat="1" spans="1:13">
      <c r="A2" s="2" t="s">
        <v>160</v>
      </c>
      <c r="B2" s="2" t="s">
        <v>10</v>
      </c>
      <c r="C2" s="9">
        <v>45802</v>
      </c>
      <c r="D2" s="2">
        <v>70</v>
      </c>
      <c r="E2" s="2">
        <v>120</v>
      </c>
      <c r="F2" s="2">
        <v>70</v>
      </c>
      <c r="G2" s="2">
        <v>120</v>
      </c>
      <c r="H2" s="4">
        <f>E2/D2</f>
        <v>1.71428571428571</v>
      </c>
      <c r="I2" s="4">
        <f>G2/F2</f>
        <v>1.71428571428571</v>
      </c>
      <c r="J2" s="7">
        <f ca="1">F2-IFERROR(VLOOKUP($A2,'0525'!$A$1:'0525'!G$48,6,FALSE),IFERROR(VLOOKUP($C2,'0525'!$C$1:'0525'!G$48,4,FALSE),F2-D2))</f>
        <v>70</v>
      </c>
      <c r="K2" s="8">
        <f ca="1">G2-IFERROR(VLOOKUP($A2,'0525'!$A$1:'0525'!H$44,7,FALSE),IFERROR(VLOOKUP($C2,'0525'!$C$1:'0525'!H$44,5,FALSE),G2-E2))</f>
        <v>120</v>
      </c>
      <c r="L2" s="4">
        <f ca="1">IFERROR(K2/J2,)</f>
        <v>1.71428571428571</v>
      </c>
      <c r="M2" s="6"/>
    </row>
    <row r="3" s="2" customFormat="1" spans="1:12">
      <c r="A3" s="2" t="s">
        <v>158</v>
      </c>
      <c r="B3" s="2" t="s">
        <v>10</v>
      </c>
      <c r="C3" s="9">
        <v>45801</v>
      </c>
      <c r="D3" s="2">
        <v>155</v>
      </c>
      <c r="E3" s="2">
        <v>391</v>
      </c>
      <c r="F3" s="2">
        <v>155</v>
      </c>
      <c r="G3" s="2">
        <v>391</v>
      </c>
      <c r="H3" s="4">
        <f t="shared" ref="H3:H30" si="0">E3/D3</f>
        <v>2.52258064516129</v>
      </c>
      <c r="I3" s="4">
        <f t="shared" ref="I3:I30" si="1">G3/F3</f>
        <v>2.52258064516129</v>
      </c>
      <c r="J3" s="7">
        <f ca="1">F3-IFERROR(VLOOKUP($A3,'0525'!$A$1:'0525'!G$48,6,FALSE),IFERROR(VLOOKUP($C3,'0525'!$C$1:'0525'!G$48,4,FALSE),F3-D3))</f>
        <v>59</v>
      </c>
      <c r="K3" s="8">
        <f ca="1">G3-IFERROR(VLOOKUP($A3,'0525'!$A$1:'0525'!H$44,7,FALSE),IFERROR(VLOOKUP($C3,'0525'!$C$1:'0525'!H$44,5,FALSE),G3-E3))</f>
        <v>143</v>
      </c>
      <c r="L3" s="4">
        <f ca="1" t="shared" ref="L3:L30" si="2">IFERROR(K3/J3,)</f>
        <v>2.42372881355932</v>
      </c>
    </row>
    <row r="4" s="2" customFormat="1" spans="1:12">
      <c r="A4" s="2" t="s">
        <v>156</v>
      </c>
      <c r="B4" s="2" t="s">
        <v>10</v>
      </c>
      <c r="C4" s="9">
        <v>45800</v>
      </c>
      <c r="D4" s="2">
        <v>295</v>
      </c>
      <c r="E4" s="2">
        <v>264</v>
      </c>
      <c r="F4" s="2">
        <v>295</v>
      </c>
      <c r="G4" s="2">
        <v>264</v>
      </c>
      <c r="H4" s="4">
        <f t="shared" si="0"/>
        <v>0.894915254237288</v>
      </c>
      <c r="I4" s="4">
        <f t="shared" si="1"/>
        <v>0.894915254237288</v>
      </c>
      <c r="J4" s="7">
        <f ca="1">F4-IFERROR(VLOOKUP($A4,'0525'!$A$1:'0525'!G$48,6,FALSE),IFERROR(VLOOKUP($C4,'0525'!$C$1:'0525'!G$48,4,FALSE),F4-D4))</f>
        <v>82</v>
      </c>
      <c r="K4" s="8">
        <f ca="1">G4-IFERROR(VLOOKUP($A4,'0525'!$A$1:'0525'!H$44,7,FALSE),IFERROR(VLOOKUP($C4,'0525'!$C$1:'0525'!H$44,5,FALSE),G4-E4))</f>
        <v>12</v>
      </c>
      <c r="L4" s="4">
        <f ca="1" t="shared" si="2"/>
        <v>0.146341463414634</v>
      </c>
    </row>
    <row r="5" s="2" customFormat="1" spans="1:12">
      <c r="A5" s="2" t="s">
        <v>151</v>
      </c>
      <c r="B5" s="2" t="s">
        <v>10</v>
      </c>
      <c r="C5" s="9">
        <v>45799</v>
      </c>
      <c r="D5" s="2">
        <v>131</v>
      </c>
      <c r="E5" s="2">
        <v>234</v>
      </c>
      <c r="F5" s="2">
        <v>131</v>
      </c>
      <c r="G5" s="2">
        <v>234</v>
      </c>
      <c r="H5" s="4">
        <f t="shared" si="0"/>
        <v>1.78625954198473</v>
      </c>
      <c r="I5" s="4">
        <f t="shared" si="1"/>
        <v>1.78625954198473</v>
      </c>
      <c r="J5" s="7">
        <f ca="1">F5-IFERROR(VLOOKUP($A5,'0525'!$A$1:'0525'!G$48,6,FALSE),IFERROR(VLOOKUP($C5,'0525'!$C$1:'0525'!G$48,4,FALSE),F5-D5))</f>
        <v>5</v>
      </c>
      <c r="K5" s="8">
        <f ca="1">G5-IFERROR(VLOOKUP($A5,'0525'!$A$1:'0525'!H$44,7,FALSE),IFERROR(VLOOKUP($C5,'0525'!$C$1:'0525'!H$44,5,FALSE),G5-E5))</f>
        <v>4</v>
      </c>
      <c r="L5" s="4">
        <f ca="1" t="shared" si="2"/>
        <v>0.8</v>
      </c>
    </row>
    <row r="6" s="2" customFormat="1" spans="1:12">
      <c r="A6" s="2" t="s">
        <v>148</v>
      </c>
      <c r="B6" s="2" t="s">
        <v>10</v>
      </c>
      <c r="C6" s="9">
        <v>45798</v>
      </c>
      <c r="D6" s="2">
        <v>198</v>
      </c>
      <c r="E6" s="2">
        <v>397</v>
      </c>
      <c r="F6" s="2">
        <v>198</v>
      </c>
      <c r="G6" s="2">
        <v>397</v>
      </c>
      <c r="H6" s="4">
        <f t="shared" si="0"/>
        <v>2.00505050505051</v>
      </c>
      <c r="I6" s="4">
        <f t="shared" si="1"/>
        <v>2.00505050505051</v>
      </c>
      <c r="J6" s="7">
        <f ca="1">F6-IFERROR(VLOOKUP($A6,'0525'!$A$1:'0525'!G$48,6,FALSE),IFERROR(VLOOKUP($C6,'0525'!$C$1:'0525'!G$48,4,FALSE),F6-D6))</f>
        <v>2</v>
      </c>
      <c r="K6" s="8">
        <f ca="1">G6-IFERROR(VLOOKUP($A6,'0525'!$A$1:'0525'!H$44,7,FALSE),IFERROR(VLOOKUP($C6,'0525'!$C$1:'0525'!H$44,5,FALSE),G6-E6))</f>
        <v>0</v>
      </c>
      <c r="L6" s="4">
        <f ca="1" t="shared" si="2"/>
        <v>0</v>
      </c>
    </row>
    <row r="7" s="2" customFormat="1" spans="1:12">
      <c r="A7" s="2" t="s">
        <v>149</v>
      </c>
      <c r="B7" s="2" t="s">
        <v>10</v>
      </c>
      <c r="C7" s="9">
        <v>45798</v>
      </c>
      <c r="D7" s="2">
        <v>227</v>
      </c>
      <c r="E7" s="2">
        <v>242</v>
      </c>
      <c r="F7" s="2">
        <v>227</v>
      </c>
      <c r="G7" s="2">
        <v>242</v>
      </c>
      <c r="H7" s="4">
        <f t="shared" si="0"/>
        <v>1.06607929515419</v>
      </c>
      <c r="I7" s="4">
        <f t="shared" si="1"/>
        <v>1.06607929515419</v>
      </c>
      <c r="J7" s="7">
        <f ca="1">F7-IFERROR(VLOOKUP($A7,'0525'!$A$1:'0525'!G$48,6,FALSE),IFERROR(VLOOKUP($C7,'0525'!$C$1:'0525'!G$48,4,FALSE),F7-D7))</f>
        <v>4</v>
      </c>
      <c r="K7" s="8">
        <f ca="1">G7-IFERROR(VLOOKUP($A7,'0525'!$A$1:'0525'!H$44,7,FALSE),IFERROR(VLOOKUP($C7,'0525'!$C$1:'0525'!H$44,5,FALSE),G7-E7))</f>
        <v>0</v>
      </c>
      <c r="L7" s="4">
        <f ca="1" t="shared" si="2"/>
        <v>0</v>
      </c>
    </row>
    <row r="8" s="2" customFormat="1" spans="1:13">
      <c r="A8" s="2" t="s">
        <v>146</v>
      </c>
      <c r="B8" s="2" t="s">
        <v>10</v>
      </c>
      <c r="C8" s="9">
        <v>45797</v>
      </c>
      <c r="D8" s="2">
        <v>192</v>
      </c>
      <c r="E8" s="2">
        <v>577</v>
      </c>
      <c r="F8" s="2">
        <v>192</v>
      </c>
      <c r="G8" s="2">
        <v>577</v>
      </c>
      <c r="H8" s="4">
        <f t="shared" si="0"/>
        <v>3.00520833333333</v>
      </c>
      <c r="I8" s="4">
        <f t="shared" si="1"/>
        <v>3.00520833333333</v>
      </c>
      <c r="J8" s="7">
        <f ca="1">F8-IFERROR(VLOOKUP($A8,'0525'!$A$1:'0525'!G$48,6,FALSE),IFERROR(VLOOKUP($C8,'0525'!$C$1:'0525'!G$48,4,FALSE),F8-D8))</f>
        <v>22</v>
      </c>
      <c r="K8" s="8">
        <f ca="1">G8-IFERROR(VLOOKUP($A8,'0525'!$A$1:'0525'!H$44,7,FALSE),IFERROR(VLOOKUP($C8,'0525'!$C$1:'0525'!H$44,5,FALSE),G8-E8))</f>
        <v>71</v>
      </c>
      <c r="L8" s="4">
        <f ca="1" t="shared" si="2"/>
        <v>3.22727272727273</v>
      </c>
      <c r="M8" s="2" t="s">
        <v>152</v>
      </c>
    </row>
    <row r="9" s="2" customFormat="1" spans="1:13">
      <c r="A9" s="2" t="s">
        <v>142</v>
      </c>
      <c r="B9" s="2" t="s">
        <v>10</v>
      </c>
      <c r="C9" s="9">
        <v>45796</v>
      </c>
      <c r="D9" s="2">
        <v>136</v>
      </c>
      <c r="E9" s="2">
        <v>276</v>
      </c>
      <c r="F9" s="2">
        <v>136</v>
      </c>
      <c r="G9" s="2">
        <v>276</v>
      </c>
      <c r="H9" s="4">
        <f t="shared" si="0"/>
        <v>2.02941176470588</v>
      </c>
      <c r="I9" s="4">
        <f t="shared" si="1"/>
        <v>2.02941176470588</v>
      </c>
      <c r="J9" s="7">
        <f ca="1">F9-IFERROR(VLOOKUP($A9,'0525'!$A$1:'0525'!G$48,6,FALSE),IFERROR(VLOOKUP($C9,'0525'!$C$1:'0525'!G$48,4,FALSE),F9-D9))</f>
        <v>0</v>
      </c>
      <c r="K9" s="8">
        <f ca="1">G9-IFERROR(VLOOKUP($A9,'0525'!$A$1:'0525'!H$44,7,FALSE),IFERROR(VLOOKUP($C9,'0525'!$C$1:'0525'!H$44,5,FALSE),G9-E9))</f>
        <v>0</v>
      </c>
      <c r="L9" s="4">
        <f ca="1" t="shared" si="2"/>
        <v>0</v>
      </c>
      <c r="M9" s="2" t="s">
        <v>161</v>
      </c>
    </row>
    <row r="10" s="2" customFormat="1" spans="1:12">
      <c r="A10" s="2" t="s">
        <v>132</v>
      </c>
      <c r="B10" s="2" t="s">
        <v>10</v>
      </c>
      <c r="C10" s="9">
        <v>45795</v>
      </c>
      <c r="D10" s="2">
        <v>148</v>
      </c>
      <c r="E10" s="2">
        <v>110</v>
      </c>
      <c r="F10" s="2">
        <v>202</v>
      </c>
      <c r="G10" s="2">
        <v>211</v>
      </c>
      <c r="H10" s="4">
        <f t="shared" si="0"/>
        <v>0.743243243243243</v>
      </c>
      <c r="I10" s="4">
        <f t="shared" si="1"/>
        <v>1.04455445544554</v>
      </c>
      <c r="J10" s="7">
        <f ca="1">F10-IFERROR(VLOOKUP($A10,'0525'!$A$1:'0525'!G$48,6,FALSE),IFERROR(VLOOKUP($C10,'0525'!$C$1:'0525'!G$48,4,FALSE),F10-D10))</f>
        <v>3</v>
      </c>
      <c r="K10" s="8">
        <f ca="1">G10-IFERROR(VLOOKUP($A10,'0525'!$A$1:'0525'!H$44,7,FALSE),IFERROR(VLOOKUP($C10,'0525'!$C$1:'0525'!H$44,5,FALSE),G10-E10))</f>
        <v>0</v>
      </c>
      <c r="L10" s="4">
        <f ca="1" t="shared" si="2"/>
        <v>0</v>
      </c>
    </row>
    <row r="11" s="2" customFormat="1" spans="1:13">
      <c r="A11" s="2" t="s">
        <v>129</v>
      </c>
      <c r="B11" s="2" t="s">
        <v>10</v>
      </c>
      <c r="C11" s="9">
        <v>45794</v>
      </c>
      <c r="D11" s="2">
        <v>99</v>
      </c>
      <c r="E11" s="2">
        <v>30</v>
      </c>
      <c r="F11" s="2">
        <v>203</v>
      </c>
      <c r="G11" s="2">
        <v>286</v>
      </c>
      <c r="H11" s="4">
        <f t="shared" si="0"/>
        <v>0.303030303030303</v>
      </c>
      <c r="I11" s="4">
        <f t="shared" si="1"/>
        <v>1.40886699507389</v>
      </c>
      <c r="J11" s="7">
        <f ca="1">F11-IFERROR(VLOOKUP($A11,'0525'!$A$1:'0525'!G$48,6,FALSE),IFERROR(VLOOKUP($C11,'0525'!$C$1:'0525'!G$48,4,FALSE),F11-D11))</f>
        <v>0</v>
      </c>
      <c r="K11" s="8">
        <f ca="1">G11-IFERROR(VLOOKUP($A11,'0525'!$A$1:'0525'!H$44,7,FALSE),IFERROR(VLOOKUP($C11,'0525'!$C$1:'0525'!H$44,5,FALSE),G11-E11))</f>
        <v>0</v>
      </c>
      <c r="L11" s="4">
        <f ca="1" t="shared" si="2"/>
        <v>0</v>
      </c>
      <c r="M11" s="2" t="s">
        <v>143</v>
      </c>
    </row>
    <row r="12" s="2" customFormat="1" spans="1:12">
      <c r="A12" s="2" t="s">
        <v>130</v>
      </c>
      <c r="B12" s="2" t="s">
        <v>10</v>
      </c>
      <c r="C12" s="9">
        <v>45794</v>
      </c>
      <c r="D12" s="2">
        <v>38692</v>
      </c>
      <c r="E12" s="2">
        <v>11526</v>
      </c>
      <c r="F12" s="2">
        <v>38855</v>
      </c>
      <c r="G12" s="2">
        <v>11905</v>
      </c>
      <c r="H12" s="4">
        <f t="shared" si="0"/>
        <v>0.297891036906854</v>
      </c>
      <c r="I12" s="4">
        <f t="shared" si="1"/>
        <v>0.306395573285291</v>
      </c>
      <c r="J12" s="7">
        <f ca="1">F12-IFERROR(VLOOKUP($A12,'0525'!$A$1:'0525'!G$48,6,FALSE),IFERROR(VLOOKUP($C12,'0525'!$C$1:'0525'!G$48,4,FALSE),F12-D12))</f>
        <v>520</v>
      </c>
      <c r="K12" s="8">
        <f ca="1">G12-IFERROR(VLOOKUP($A12,'0525'!$A$1:'0525'!H$44,7,FALSE),IFERROR(VLOOKUP($C12,'0525'!$C$1:'0525'!H$44,5,FALSE),G12-E12))</f>
        <v>181</v>
      </c>
      <c r="L12" s="4">
        <f ca="1" t="shared" si="2"/>
        <v>0.348076923076923</v>
      </c>
    </row>
    <row r="13" s="2" customFormat="1" spans="1:12">
      <c r="A13" s="2" t="s">
        <v>120</v>
      </c>
      <c r="B13" s="2" t="s">
        <v>10</v>
      </c>
      <c r="C13" s="9">
        <v>45793</v>
      </c>
      <c r="D13" s="2">
        <v>83</v>
      </c>
      <c r="E13" s="2">
        <v>49</v>
      </c>
      <c r="F13" s="2">
        <v>260</v>
      </c>
      <c r="G13" s="2">
        <v>472</v>
      </c>
      <c r="H13" s="4">
        <f t="shared" si="0"/>
        <v>0.590361445783133</v>
      </c>
      <c r="I13" s="4">
        <f t="shared" si="1"/>
        <v>1.81538461538462</v>
      </c>
      <c r="J13" s="7">
        <f ca="1">F13-IFERROR(VLOOKUP($A13,'0525'!$A$1:'0525'!G$48,6,FALSE),IFERROR(VLOOKUP($C13,'0525'!$C$1:'0525'!G$48,4,FALSE),F13-D13))</f>
        <v>13</v>
      </c>
      <c r="K13" s="8">
        <f ca="1">G13-IFERROR(VLOOKUP($A13,'0525'!$A$1:'0525'!H$44,7,FALSE),IFERROR(VLOOKUP($C13,'0525'!$C$1:'0525'!H$44,5,FALSE),G13-E13))</f>
        <v>0</v>
      </c>
      <c r="L13" s="4">
        <f ca="1" t="shared" si="2"/>
        <v>0</v>
      </c>
    </row>
    <row r="14" s="2" customFormat="1" spans="1:12">
      <c r="A14" s="2" t="s">
        <v>121</v>
      </c>
      <c r="B14" s="2" t="s">
        <v>10</v>
      </c>
      <c r="C14" s="9">
        <v>45793</v>
      </c>
      <c r="D14" s="2">
        <v>63</v>
      </c>
      <c r="E14" s="2">
        <v>16</v>
      </c>
      <c r="F14" s="2">
        <v>182</v>
      </c>
      <c r="G14" s="2">
        <v>207</v>
      </c>
      <c r="H14" s="4">
        <f t="shared" si="0"/>
        <v>0.253968253968254</v>
      </c>
      <c r="I14" s="4">
        <f t="shared" si="1"/>
        <v>1.13736263736264</v>
      </c>
      <c r="J14" s="7">
        <f ca="1">F14-IFERROR(VLOOKUP($A14,'0525'!$A$1:'0525'!G$48,6,FALSE),IFERROR(VLOOKUP($C14,'0525'!$C$1:'0525'!G$48,4,FALSE),F14-D14))</f>
        <v>4</v>
      </c>
      <c r="K14" s="8">
        <f ca="1">G14-IFERROR(VLOOKUP($A14,'0525'!$A$1:'0525'!H$44,7,FALSE),IFERROR(VLOOKUP($C14,'0525'!$C$1:'0525'!H$44,5,FALSE),G14-E14))</f>
        <v>0</v>
      </c>
      <c r="L14" s="4">
        <f ca="1" t="shared" si="2"/>
        <v>0</v>
      </c>
    </row>
    <row r="15" s="2" customFormat="1" spans="1:13">
      <c r="A15" s="2" t="s">
        <v>116</v>
      </c>
      <c r="B15" s="2" t="s">
        <v>10</v>
      </c>
      <c r="C15" s="9">
        <v>45792</v>
      </c>
      <c r="D15" s="2">
        <v>86</v>
      </c>
      <c r="E15" s="2">
        <v>448</v>
      </c>
      <c r="F15" s="2">
        <v>198</v>
      </c>
      <c r="G15" s="2">
        <v>774</v>
      </c>
      <c r="H15" s="4">
        <f t="shared" si="0"/>
        <v>5.2093023255814</v>
      </c>
      <c r="I15" s="4">
        <f t="shared" si="1"/>
        <v>3.90909090909091</v>
      </c>
      <c r="J15" s="7">
        <f ca="1">F15-IFERROR(VLOOKUP($A15,'0525'!$A$1:'0525'!G$48,6,FALSE),IFERROR(VLOOKUP($C15,'0525'!$C$1:'0525'!G$48,4,FALSE),F15-D15))</f>
        <v>17</v>
      </c>
      <c r="K15" s="8">
        <f ca="1">G15-IFERROR(VLOOKUP($A15,'0525'!$A$1:'0525'!H$44,7,FALSE),IFERROR(VLOOKUP($C15,'0525'!$C$1:'0525'!H$44,5,FALSE),G15-E15))</f>
        <v>21</v>
      </c>
      <c r="L15" s="4">
        <f ca="1" t="shared" si="2"/>
        <v>1.23529411764706</v>
      </c>
      <c r="M15" s="2" t="s">
        <v>133</v>
      </c>
    </row>
    <row r="16" s="2" customFormat="1" spans="1:12">
      <c r="A16" s="2" t="s">
        <v>107</v>
      </c>
      <c r="B16" s="2" t="s">
        <v>10</v>
      </c>
      <c r="C16" s="9">
        <v>45790</v>
      </c>
      <c r="D16" s="2">
        <v>22</v>
      </c>
      <c r="E16" s="2">
        <v>6</v>
      </c>
      <c r="F16" s="2">
        <v>343</v>
      </c>
      <c r="G16" s="2">
        <v>312</v>
      </c>
      <c r="H16" s="4">
        <f t="shared" si="0"/>
        <v>0.272727272727273</v>
      </c>
      <c r="I16" s="4">
        <f t="shared" si="1"/>
        <v>0.909620991253644</v>
      </c>
      <c r="J16" s="7">
        <f ca="1">F16-IFERROR(VLOOKUP($A16,'0525'!$A$1:'0525'!G$48,6,FALSE),IFERROR(VLOOKUP($C16,'0525'!$C$1:'0525'!G$48,4,FALSE),F16-D16))</f>
        <v>2</v>
      </c>
      <c r="K16" s="8">
        <f ca="1">G16-IFERROR(VLOOKUP($A16,'0525'!$A$1:'0525'!H$44,7,FALSE),IFERROR(VLOOKUP($C16,'0525'!$C$1:'0525'!H$44,5,FALSE),G16-E16))</f>
        <v>0</v>
      </c>
      <c r="L16" s="4">
        <f ca="1" t="shared" si="2"/>
        <v>0</v>
      </c>
    </row>
    <row r="17" s="2" customFormat="1" spans="1:13">
      <c r="A17" s="2" t="s">
        <v>108</v>
      </c>
      <c r="B17" s="2" t="s">
        <v>10</v>
      </c>
      <c r="C17" s="9">
        <v>45790</v>
      </c>
      <c r="D17" s="2">
        <v>24</v>
      </c>
      <c r="E17" s="2">
        <v>12</v>
      </c>
      <c r="F17" s="2">
        <v>5506</v>
      </c>
      <c r="G17" s="2">
        <v>1217</v>
      </c>
      <c r="H17" s="4">
        <f t="shared" si="0"/>
        <v>0.5</v>
      </c>
      <c r="I17" s="4">
        <f t="shared" si="1"/>
        <v>0.221031601888849</v>
      </c>
      <c r="J17" s="7">
        <f ca="1">F17-IFERROR(VLOOKUP($A17,'0525'!$A$1:'0525'!G$48,6,FALSE),IFERROR(VLOOKUP($C17,'0525'!$C$1:'0525'!G$48,4,FALSE),F17-D17))</f>
        <v>0</v>
      </c>
      <c r="K17" s="8">
        <f ca="1">G17-IFERROR(VLOOKUP($A17,'0525'!$A$1:'0525'!H$44,7,FALSE),IFERROR(VLOOKUP($C17,'0525'!$C$1:'0525'!H$44,5,FALSE),G17-E17))</f>
        <v>0</v>
      </c>
      <c r="L17" s="4">
        <f ca="1" t="shared" si="2"/>
        <v>0</v>
      </c>
      <c r="M17" s="2" t="s">
        <v>109</v>
      </c>
    </row>
    <row r="18" s="2" customFormat="1" spans="1:13">
      <c r="A18" s="2" t="s">
        <v>105</v>
      </c>
      <c r="B18" s="2" t="s">
        <v>10</v>
      </c>
      <c r="C18" s="9">
        <v>45789</v>
      </c>
      <c r="D18" s="2">
        <v>43</v>
      </c>
      <c r="E18" s="2">
        <v>6</v>
      </c>
      <c r="F18" s="2">
        <v>228</v>
      </c>
      <c r="G18" s="2">
        <v>570</v>
      </c>
      <c r="H18" s="4">
        <f t="shared" si="0"/>
        <v>0.13953488372093</v>
      </c>
      <c r="I18" s="4">
        <f t="shared" si="1"/>
        <v>2.5</v>
      </c>
      <c r="J18" s="7">
        <f ca="1">F18-IFERROR(VLOOKUP($A18,'0525'!$A$1:'0525'!G$48,6,FALSE),IFERROR(VLOOKUP($C18,'0525'!$C$1:'0525'!G$48,4,FALSE),F18-D18))</f>
        <v>1</v>
      </c>
      <c r="K18" s="8">
        <f ca="1">G18-IFERROR(VLOOKUP($A18,'0525'!$A$1:'0525'!H$44,7,FALSE),IFERROR(VLOOKUP($C18,'0525'!$C$1:'0525'!H$44,5,FALSE),G18-E18))</f>
        <v>0</v>
      </c>
      <c r="L18" s="4">
        <f ca="1" t="shared" si="2"/>
        <v>0</v>
      </c>
      <c r="M18" s="2" t="s">
        <v>131</v>
      </c>
    </row>
    <row r="19" s="2" customFormat="1" spans="1:13">
      <c r="A19" s="2" t="s">
        <v>88</v>
      </c>
      <c r="B19" s="2" t="s">
        <v>10</v>
      </c>
      <c r="C19" s="9">
        <v>45785</v>
      </c>
      <c r="D19" s="2">
        <v>17</v>
      </c>
      <c r="E19" s="2">
        <v>4</v>
      </c>
      <c r="F19" s="2">
        <v>328</v>
      </c>
      <c r="G19" s="2">
        <v>199</v>
      </c>
      <c r="H19" s="4">
        <f t="shared" si="0"/>
        <v>0.235294117647059</v>
      </c>
      <c r="I19" s="4">
        <f t="shared" si="1"/>
        <v>0.606707317073171</v>
      </c>
      <c r="J19" s="7">
        <f ca="1">F19-IFERROR(VLOOKUP($A19,'0525'!$A$1:'0525'!G$48,6,FALSE),IFERROR(VLOOKUP($C19,'0525'!$C$1:'0525'!G$48,4,FALSE),F19-D19))</f>
        <v>5</v>
      </c>
      <c r="K19" s="8">
        <f ca="1">G19-IFERROR(VLOOKUP($A19,'0525'!$A$1:'0525'!H$44,7,FALSE),IFERROR(VLOOKUP($C19,'0525'!$C$1:'0525'!H$44,5,FALSE),G19-E19))</f>
        <v>0</v>
      </c>
      <c r="L19" s="4">
        <f ca="1" t="shared" si="2"/>
        <v>0</v>
      </c>
      <c r="M19" s="2" t="s">
        <v>153</v>
      </c>
    </row>
    <row r="20" s="2" customFormat="1" spans="1:12">
      <c r="A20" s="2" t="s">
        <v>77</v>
      </c>
      <c r="B20" s="2" t="s">
        <v>10</v>
      </c>
      <c r="C20" s="9">
        <v>45782</v>
      </c>
      <c r="D20" s="2">
        <v>22</v>
      </c>
      <c r="E20" s="2">
        <v>17</v>
      </c>
      <c r="F20" s="2">
        <v>390</v>
      </c>
      <c r="G20" s="2">
        <v>237</v>
      </c>
      <c r="H20" s="4">
        <f t="shared" si="0"/>
        <v>0.772727272727273</v>
      </c>
      <c r="I20" s="4">
        <f t="shared" si="1"/>
        <v>0.607692307692308</v>
      </c>
      <c r="J20" s="7">
        <f ca="1">F20-IFERROR(VLOOKUP($A20,'0525'!$A$1:'0525'!G$48,6,FALSE),IFERROR(VLOOKUP($C20,'0525'!$C$1:'0525'!G$48,4,FALSE),F20-D20))</f>
        <v>1</v>
      </c>
      <c r="K20" s="8">
        <f ca="1">G20-IFERROR(VLOOKUP($A20,'0525'!$A$1:'0525'!H$44,7,FALSE),IFERROR(VLOOKUP($C20,'0525'!$C$1:'0525'!H$44,5,FALSE),G20-E20))</f>
        <v>0</v>
      </c>
      <c r="L20" s="4">
        <f ca="1" t="shared" si="2"/>
        <v>0</v>
      </c>
    </row>
    <row r="21" s="2" customFormat="1" spans="1:12">
      <c r="A21" s="2" t="s">
        <v>134</v>
      </c>
      <c r="B21" s="2" t="s">
        <v>10</v>
      </c>
      <c r="C21" s="9">
        <v>45780</v>
      </c>
      <c r="D21" s="2">
        <v>464</v>
      </c>
      <c r="E21" s="2">
        <v>37</v>
      </c>
      <c r="F21" s="2">
        <v>1806</v>
      </c>
      <c r="G21" s="2">
        <v>598</v>
      </c>
      <c r="H21" s="4">
        <f t="shared" si="0"/>
        <v>0.0797413793103448</v>
      </c>
      <c r="I21" s="4">
        <f t="shared" si="1"/>
        <v>0.331118493909192</v>
      </c>
      <c r="J21" s="7">
        <f ca="1">F21-IFERROR(VLOOKUP($A21,'0525'!$A$1:'0525'!G$48,6,FALSE),IFERROR(VLOOKUP($C21,'0525'!$C$1:'0525'!G$48,4,FALSE),F21-D21))</f>
        <v>15</v>
      </c>
      <c r="K21" s="8">
        <f ca="1">G21-IFERROR(VLOOKUP($A21,'0525'!$A$1:'0525'!H$44,7,FALSE),IFERROR(VLOOKUP($C21,'0525'!$C$1:'0525'!H$44,5,FALSE),G21-E21))</f>
        <v>0</v>
      </c>
      <c r="L21" s="4">
        <f ca="1" t="shared" si="2"/>
        <v>0</v>
      </c>
    </row>
    <row r="22" s="2" customFormat="1" spans="1:12">
      <c r="A22" s="2" t="s">
        <v>27</v>
      </c>
      <c r="B22" s="2" t="s">
        <v>10</v>
      </c>
      <c r="C22" s="9">
        <v>45769</v>
      </c>
      <c r="D22" s="2">
        <v>27</v>
      </c>
      <c r="E22" s="2">
        <v>7</v>
      </c>
      <c r="F22" s="2">
        <v>674</v>
      </c>
      <c r="G22" s="2">
        <v>369</v>
      </c>
      <c r="H22" s="4">
        <f t="shared" si="0"/>
        <v>0.259259259259259</v>
      </c>
      <c r="I22" s="4">
        <f t="shared" si="1"/>
        <v>0.547477744807122</v>
      </c>
      <c r="J22" s="7">
        <f ca="1">F22-IFERROR(VLOOKUP($A22,'0525'!$A$1:'0525'!G$48,6,FALSE),IFERROR(VLOOKUP($C22,'0525'!$C$1:'0525'!G$48,4,FALSE),F22-D22))</f>
        <v>0</v>
      </c>
      <c r="K22" s="8">
        <f ca="1">G22-IFERROR(VLOOKUP($A22,'0525'!$A$1:'0525'!H$44,7,FALSE),IFERROR(VLOOKUP($C22,'0525'!$C$1:'0525'!H$44,5,FALSE),G22-E22))</f>
        <v>0</v>
      </c>
      <c r="L22" s="4">
        <f ca="1" t="shared" si="2"/>
        <v>0</v>
      </c>
    </row>
    <row r="23" s="2" customFormat="1" spans="1:13">
      <c r="A23" s="2" t="s">
        <v>31</v>
      </c>
      <c r="B23" s="2" t="s">
        <v>10</v>
      </c>
      <c r="C23" s="9">
        <v>45767</v>
      </c>
      <c r="D23" s="2">
        <v>22</v>
      </c>
      <c r="E23" s="2">
        <v>7</v>
      </c>
      <c r="F23" s="2">
        <v>1206</v>
      </c>
      <c r="G23" s="2">
        <v>297</v>
      </c>
      <c r="H23" s="4">
        <f t="shared" si="0"/>
        <v>0.318181818181818</v>
      </c>
      <c r="I23" s="4">
        <f t="shared" si="1"/>
        <v>0.246268656716418</v>
      </c>
      <c r="J23" s="7">
        <f ca="1">F23-IFERROR(VLOOKUP($A23,'0525'!$A$1:'0525'!G$48,6,FALSE),IFERROR(VLOOKUP($C23,'0525'!$C$1:'0525'!G$48,4,FALSE),F23-D23))</f>
        <v>1</v>
      </c>
      <c r="K23" s="8">
        <f ca="1">G23-IFERROR(VLOOKUP($A23,'0525'!$A$1:'0525'!H$44,7,FALSE),IFERROR(VLOOKUP($C23,'0525'!$C$1:'0525'!H$44,5,FALSE),G23-E23))</f>
        <v>0</v>
      </c>
      <c r="L23" s="4">
        <f ca="1" t="shared" si="2"/>
        <v>0</v>
      </c>
      <c r="M23" s="2" t="s">
        <v>144</v>
      </c>
    </row>
    <row r="24" s="2" customFormat="1" spans="1:13">
      <c r="A24" s="2" t="s">
        <v>44</v>
      </c>
      <c r="B24" s="2" t="s">
        <v>10</v>
      </c>
      <c r="C24" s="9">
        <v>45761</v>
      </c>
      <c r="D24" s="2">
        <v>40</v>
      </c>
      <c r="E24" s="2">
        <v>5</v>
      </c>
      <c r="F24" s="2">
        <v>1136</v>
      </c>
      <c r="G24" s="2">
        <v>956</v>
      </c>
      <c r="H24" s="4">
        <f t="shared" si="0"/>
        <v>0.125</v>
      </c>
      <c r="I24" s="4">
        <f t="shared" si="1"/>
        <v>0.841549295774648</v>
      </c>
      <c r="J24" s="7">
        <f ca="1">F24-IFERROR(VLOOKUP($A24,'0525'!$A$1:'0525'!G$48,6,FALSE),IFERROR(VLOOKUP($C24,'0525'!$C$1:'0525'!G$48,4,FALSE),F24-D24))</f>
        <v>2</v>
      </c>
      <c r="K24" s="8">
        <f ca="1">G24-IFERROR(VLOOKUP($A24,'0525'!$A$1:'0525'!H$44,7,FALSE),IFERROR(VLOOKUP($C24,'0525'!$C$1:'0525'!H$44,5,FALSE),G24-E24))</f>
        <v>0</v>
      </c>
      <c r="L24" s="4">
        <f ca="1" t="shared" si="2"/>
        <v>0</v>
      </c>
      <c r="M24" s="2" t="s">
        <v>150</v>
      </c>
    </row>
    <row r="25" s="2" customFormat="1" spans="1:13">
      <c r="A25" s="2" t="s">
        <v>73</v>
      </c>
      <c r="B25" s="2" t="s">
        <v>10</v>
      </c>
      <c r="C25" s="9">
        <v>45755</v>
      </c>
      <c r="D25" s="2">
        <v>15</v>
      </c>
      <c r="E25" s="2">
        <v>5</v>
      </c>
      <c r="F25" s="2">
        <v>487</v>
      </c>
      <c r="G25" s="2">
        <v>526</v>
      </c>
      <c r="H25" s="4">
        <f t="shared" si="0"/>
        <v>0.333333333333333</v>
      </c>
      <c r="I25" s="4">
        <f t="shared" si="1"/>
        <v>1.08008213552361</v>
      </c>
      <c r="J25" s="7">
        <f ca="1">F25-IFERROR(VLOOKUP($A25,'0525'!$A$1:'0525'!G$48,6,FALSE),IFERROR(VLOOKUP($C25,'0525'!$C$1:'0525'!G$48,4,FALSE),F25-D25))</f>
        <v>3</v>
      </c>
      <c r="K25" s="8">
        <f ca="1">G25-IFERROR(VLOOKUP($A25,'0525'!$A$1:'0525'!H$44,7,FALSE),IFERROR(VLOOKUP($C25,'0525'!$C$1:'0525'!H$44,5,FALSE),G25-E25))</f>
        <v>0</v>
      </c>
      <c r="L25" s="4">
        <f ca="1" t="shared" si="2"/>
        <v>0</v>
      </c>
      <c r="M25" s="2" t="s">
        <v>145</v>
      </c>
    </row>
    <row r="26" s="2" customFormat="1" spans="1:13">
      <c r="A26" s="2" t="s">
        <v>52</v>
      </c>
      <c r="B26" s="2" t="s">
        <v>10</v>
      </c>
      <c r="C26" s="9">
        <v>45743</v>
      </c>
      <c r="D26" s="2">
        <v>99</v>
      </c>
      <c r="E26" s="2">
        <v>20</v>
      </c>
      <c r="F26" s="2">
        <v>5288</v>
      </c>
      <c r="G26" s="2">
        <v>2111</v>
      </c>
      <c r="H26" s="4">
        <f t="shared" si="0"/>
        <v>0.202020202020202</v>
      </c>
      <c r="I26" s="4">
        <f t="shared" si="1"/>
        <v>0.399205748865356</v>
      </c>
      <c r="J26" s="7">
        <f ca="1">F26-IFERROR(VLOOKUP($A26,'0525'!$A$1:'0525'!G$48,6,FALSE),IFERROR(VLOOKUP($C26,'0525'!$C$1:'0525'!G$48,4,FALSE),F26-D26))</f>
        <v>18</v>
      </c>
      <c r="K26" s="8">
        <f ca="1">G26-IFERROR(VLOOKUP($A26,'0525'!$A$1:'0525'!H$44,7,FALSE),IFERROR(VLOOKUP($C26,'0525'!$C$1:'0525'!H$44,5,FALSE),G26-E26))</f>
        <v>10</v>
      </c>
      <c r="L26" s="4">
        <f ca="1" t="shared" si="2"/>
        <v>0.555555555555556</v>
      </c>
      <c r="M26" s="2" t="s">
        <v>159</v>
      </c>
    </row>
    <row r="27" s="2" customFormat="1" spans="1:13">
      <c r="A27" s="2" t="s">
        <v>56</v>
      </c>
      <c r="B27" s="2" t="s">
        <v>10</v>
      </c>
      <c r="C27" s="9">
        <v>45734</v>
      </c>
      <c r="D27" s="2">
        <v>31</v>
      </c>
      <c r="E27" s="2">
        <v>10</v>
      </c>
      <c r="F27" s="2">
        <v>556</v>
      </c>
      <c r="G27" s="2">
        <v>690</v>
      </c>
      <c r="H27" s="4">
        <f t="shared" si="0"/>
        <v>0.32258064516129</v>
      </c>
      <c r="I27" s="4">
        <f t="shared" si="1"/>
        <v>1.2410071942446</v>
      </c>
      <c r="J27" s="7">
        <f ca="1">F27-IFERROR(VLOOKUP($A27,'0525'!$A$1:'0525'!G$48,6,FALSE),IFERROR(VLOOKUP($C27,'0525'!$C$1:'0525'!G$48,4,FALSE),F27-D27))</f>
        <v>12</v>
      </c>
      <c r="K27" s="8">
        <f ca="1">G27-IFERROR(VLOOKUP($A27,'0525'!$A$1:'0525'!H$44,7,FALSE),IFERROR(VLOOKUP($C27,'0525'!$C$1:'0525'!H$44,5,FALSE),G27-E27))</f>
        <v>0</v>
      </c>
      <c r="L27" s="4">
        <f ca="1" t="shared" si="2"/>
        <v>0</v>
      </c>
      <c r="M27" s="2" t="s">
        <v>147</v>
      </c>
    </row>
    <row r="28" s="2" customFormat="1" spans="1:13">
      <c r="A28" s="2" t="s">
        <v>123</v>
      </c>
      <c r="B28" s="2" t="s">
        <v>10</v>
      </c>
      <c r="C28" s="9">
        <v>45685</v>
      </c>
      <c r="D28" s="2">
        <v>60</v>
      </c>
      <c r="E28" s="2">
        <v>9</v>
      </c>
      <c r="F28" s="2">
        <v>211</v>
      </c>
      <c r="G28" s="2">
        <v>533</v>
      </c>
      <c r="H28" s="4">
        <f t="shared" si="0"/>
        <v>0.15</v>
      </c>
      <c r="I28" s="4">
        <f t="shared" si="1"/>
        <v>2.5260663507109</v>
      </c>
      <c r="J28" s="7">
        <f ca="1">F28-IFERROR(VLOOKUP($A28,'0525'!$A$1:'0525'!G$48,6,FALSE),IFERROR(VLOOKUP($C28,'0525'!$C$1:'0525'!G$48,4,FALSE),F28-D28))</f>
        <v>60</v>
      </c>
      <c r="K28" s="8">
        <f ca="1">G28-IFERROR(VLOOKUP($A28,'0525'!$A$1:'0525'!H$44,7,FALSE),IFERROR(VLOOKUP($C28,'0525'!$C$1:'0525'!H$44,5,FALSE),G28-E28))</f>
        <v>9</v>
      </c>
      <c r="L28" s="4">
        <f ca="1" t="shared" si="2"/>
        <v>0.15</v>
      </c>
      <c r="M28" s="2" t="s">
        <v>162</v>
      </c>
    </row>
    <row r="29" s="2" customFormat="1" spans="1:13">
      <c r="A29" s="2" t="s">
        <v>154</v>
      </c>
      <c r="B29" s="2" t="s">
        <v>10</v>
      </c>
      <c r="C29" s="9">
        <v>45619</v>
      </c>
      <c r="D29" s="2">
        <v>59</v>
      </c>
      <c r="E29" s="2">
        <v>4</v>
      </c>
      <c r="F29" s="2">
        <v>1838</v>
      </c>
      <c r="G29" s="2">
        <v>845</v>
      </c>
      <c r="H29" s="4">
        <f t="shared" si="0"/>
        <v>0.0677966101694915</v>
      </c>
      <c r="I29" s="4">
        <f t="shared" si="1"/>
        <v>0.459738846572361</v>
      </c>
      <c r="J29" s="7">
        <f ca="1">F29-IFERROR(VLOOKUP($A29,'0525'!$A$1:'0525'!G$48,6,FALSE),IFERROR(VLOOKUP($C29,'0525'!$C$1:'0525'!G$48,4,FALSE),F29-D29))</f>
        <v>5</v>
      </c>
      <c r="K29" s="8">
        <f ca="1">G29-IFERROR(VLOOKUP($A29,'0525'!$A$1:'0525'!H$44,7,FALSE),IFERROR(VLOOKUP($C29,'0525'!$C$1:'0525'!H$44,5,FALSE),G29-E29))</f>
        <v>0</v>
      </c>
      <c r="L29" s="4">
        <f ca="1" t="shared" si="2"/>
        <v>0</v>
      </c>
      <c r="M29" s="2" t="s">
        <v>155</v>
      </c>
    </row>
    <row r="30" s="2" customFormat="1" spans="1:13">
      <c r="A30" s="2" t="s">
        <v>127</v>
      </c>
      <c r="B30" s="2" t="s">
        <v>10</v>
      </c>
      <c r="C30" s="9">
        <v>45547</v>
      </c>
      <c r="D30" s="2">
        <v>40</v>
      </c>
      <c r="E30" s="2">
        <v>1</v>
      </c>
      <c r="F30" s="2">
        <v>9136</v>
      </c>
      <c r="G30" s="2">
        <v>2510</v>
      </c>
      <c r="H30" s="4">
        <f t="shared" si="0"/>
        <v>0.025</v>
      </c>
      <c r="I30" s="4">
        <f t="shared" si="1"/>
        <v>0.274737302977233</v>
      </c>
      <c r="J30" s="7">
        <f ca="1">F30-IFERROR(VLOOKUP($A30,'0525'!$A$1:'0525'!G$48,6,FALSE),IFERROR(VLOOKUP($C30,'0525'!$C$1:'0525'!G$48,4,FALSE),F30-D30))</f>
        <v>40</v>
      </c>
      <c r="K30" s="8">
        <f ca="1">G30-IFERROR(VLOOKUP($A30,'0525'!$A$1:'0525'!H$44,7,FALSE),IFERROR(VLOOKUP($C30,'0525'!$C$1:'0525'!H$44,5,FALSE),G30-E30))</f>
        <v>1</v>
      </c>
      <c r="L30" s="4">
        <f ca="1" t="shared" si="2"/>
        <v>0.025</v>
      </c>
      <c r="M30" s="2" t="s">
        <v>163</v>
      </c>
    </row>
    <row r="31" spans="11:11">
      <c r="K31" s="2">
        <f ca="1">SUM(K2:K30)</f>
        <v>572</v>
      </c>
    </row>
    <row r="33" spans="13:13">
      <c r="M33" s="12" t="s">
        <v>139</v>
      </c>
    </row>
    <row r="37" spans="8:12">
      <c r="H37" s="10">
        <v>2.08823529411765</v>
      </c>
      <c r="I37" s="10">
        <v>6.54054054054054</v>
      </c>
      <c r="J37" s="11">
        <v>2</v>
      </c>
      <c r="K37" s="11">
        <v>0</v>
      </c>
      <c r="L37" s="10">
        <v>0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workbookViewId="0">
      <selection activeCell="A16" sqref="$A13:$XFD16"/>
    </sheetView>
  </sheetViews>
  <sheetFormatPr defaultColWidth="10" defaultRowHeight="14.4"/>
  <cols>
    <col min="1" max="1" width="50.1111111111111" style="2" customWidth="1"/>
    <col min="2" max="2" width="10" style="2" hidden="1" customWidth="1"/>
    <col min="3" max="3" width="10.6666666666667" style="2" customWidth="1"/>
    <col min="4" max="7" width="10" style="2"/>
    <col min="8" max="9" width="6.77777777777778" style="2" customWidth="1"/>
    <col min="10" max="10" width="7.66666666666667" style="2" customWidth="1"/>
    <col min="11" max="12" width="6.77777777777778" style="2" customWidth="1"/>
    <col min="13" max="13" width="18.6666666666667" style="2" customWidth="1"/>
    <col min="14" max="16384" width="10" style="2"/>
  </cols>
  <sheetData>
    <row r="1" s="2" customForma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J1" s="5" t="s">
        <v>7</v>
      </c>
      <c r="K1" s="5" t="s">
        <v>8</v>
      </c>
      <c r="M1" s="6" t="s">
        <v>157</v>
      </c>
    </row>
    <row r="2" s="2" customFormat="1" spans="1:13">
      <c r="A2" s="2" t="s">
        <v>164</v>
      </c>
      <c r="B2" s="2" t="s">
        <v>10</v>
      </c>
      <c r="C2" s="9">
        <v>45803</v>
      </c>
      <c r="D2" s="2">
        <v>60</v>
      </c>
      <c r="E2" s="2">
        <v>198</v>
      </c>
      <c r="F2" s="2">
        <v>60</v>
      </c>
      <c r="G2" s="2">
        <v>198</v>
      </c>
      <c r="H2" s="4">
        <f t="shared" ref="H2:H30" si="0">E2/D2</f>
        <v>3.3</v>
      </c>
      <c r="I2" s="4">
        <f t="shared" ref="I2:I30" si="1">G2/F2</f>
        <v>3.3</v>
      </c>
      <c r="J2" s="7">
        <f ca="1">F2-IFERROR(VLOOKUP($A2,'0526'!$A$1:'0526'!G$48,6,FALSE),IFERROR(VLOOKUP($C2,'0526'!$C$1:'0526'!G$48,4,FALSE),F2-D2))</f>
        <v>60</v>
      </c>
      <c r="K2" s="8">
        <f ca="1">G2-IFERROR(VLOOKUP($A2,'0526'!$A$1:'0526'!H$44,7,FALSE),IFERROR(VLOOKUP($C2,'0526'!$C$1:'0526'!H$44,5,FALSE),G2-E2))</f>
        <v>198</v>
      </c>
      <c r="L2" s="4">
        <f ca="1" t="shared" ref="L2:L30" si="2">IFERROR(K2/J2,)</f>
        <v>3.3</v>
      </c>
      <c r="M2" s="6"/>
    </row>
    <row r="3" s="2" customFormat="1" spans="1:13">
      <c r="A3" s="2" t="s">
        <v>165</v>
      </c>
      <c r="B3" s="2" t="s">
        <v>10</v>
      </c>
      <c r="C3" s="9">
        <v>45803</v>
      </c>
      <c r="D3" s="2">
        <v>107</v>
      </c>
      <c r="E3" s="2">
        <v>320</v>
      </c>
      <c r="F3" s="2">
        <v>107</v>
      </c>
      <c r="G3" s="2">
        <v>320</v>
      </c>
      <c r="H3" s="4">
        <f t="shared" si="0"/>
        <v>2.99065420560748</v>
      </c>
      <c r="I3" s="4">
        <f t="shared" si="1"/>
        <v>2.99065420560748</v>
      </c>
      <c r="J3" s="7">
        <f ca="1">F3-IFERROR(VLOOKUP($A3,'0526'!$A$1:'0526'!G$48,6,FALSE),IFERROR(VLOOKUP($C3,'0526'!$C$1:'0526'!G$48,4,FALSE),F3-D3))</f>
        <v>107</v>
      </c>
      <c r="K3" s="8">
        <f ca="1">G3-IFERROR(VLOOKUP($A3,'0526'!$A$1:'0526'!H$44,7,FALSE),IFERROR(VLOOKUP($C3,'0526'!$C$1:'0526'!H$44,5,FALSE),G3-E3))</f>
        <v>320</v>
      </c>
      <c r="L3" s="4">
        <f ca="1" t="shared" si="2"/>
        <v>2.99065420560748</v>
      </c>
      <c r="M3" s="6" t="s">
        <v>166</v>
      </c>
    </row>
    <row r="4" s="2" customFormat="1" spans="1:13">
      <c r="A4" s="2" t="s">
        <v>160</v>
      </c>
      <c r="B4" s="2" t="s">
        <v>10</v>
      </c>
      <c r="C4" s="9">
        <v>45802</v>
      </c>
      <c r="D4" s="2">
        <v>96</v>
      </c>
      <c r="E4" s="2">
        <v>120</v>
      </c>
      <c r="F4" s="2">
        <v>96</v>
      </c>
      <c r="G4" s="2">
        <v>120</v>
      </c>
      <c r="H4" s="4">
        <f t="shared" si="0"/>
        <v>1.25</v>
      </c>
      <c r="I4" s="4">
        <f t="shared" si="1"/>
        <v>1.25</v>
      </c>
      <c r="J4" s="7">
        <f ca="1">F4-IFERROR(VLOOKUP($A4,'0526'!$A$1:'0526'!G$48,6,FALSE),IFERROR(VLOOKUP($C4,'0526'!$C$1:'0526'!G$48,4,FALSE),F4-D4))</f>
        <v>26</v>
      </c>
      <c r="K4" s="8">
        <f ca="1">G4-IFERROR(VLOOKUP($A4,'0526'!$A$1:'0526'!H$44,7,FALSE),IFERROR(VLOOKUP($C4,'0526'!$C$1:'0526'!H$44,5,FALSE),G4-E4))</f>
        <v>0</v>
      </c>
      <c r="L4" s="4">
        <f ca="1" t="shared" si="2"/>
        <v>0</v>
      </c>
      <c r="M4" s="6"/>
    </row>
    <row r="5" s="2" customFormat="1" spans="1:12">
      <c r="A5" s="2" t="s">
        <v>158</v>
      </c>
      <c r="B5" s="2" t="s">
        <v>10</v>
      </c>
      <c r="C5" s="9">
        <v>45801</v>
      </c>
      <c r="D5" s="2">
        <v>247</v>
      </c>
      <c r="E5" s="2">
        <v>426</v>
      </c>
      <c r="F5" s="2">
        <v>247</v>
      </c>
      <c r="G5" s="2">
        <v>426</v>
      </c>
      <c r="H5" s="4">
        <f t="shared" si="0"/>
        <v>1.7246963562753</v>
      </c>
      <c r="I5" s="4">
        <f t="shared" si="1"/>
        <v>1.7246963562753</v>
      </c>
      <c r="J5" s="7">
        <f ca="1">F5-IFERROR(VLOOKUP($A5,'0526'!$A$1:'0526'!G$48,6,FALSE),IFERROR(VLOOKUP($C5,'0526'!$C$1:'0526'!G$48,4,FALSE),F5-D5))</f>
        <v>92</v>
      </c>
      <c r="K5" s="8">
        <f ca="1">G5-IFERROR(VLOOKUP($A5,'0526'!$A$1:'0526'!H$44,7,FALSE),IFERROR(VLOOKUP($C5,'0526'!$C$1:'0526'!H$44,5,FALSE),G5-E5))</f>
        <v>35</v>
      </c>
      <c r="L5" s="4">
        <f ca="1" t="shared" si="2"/>
        <v>0.380434782608696</v>
      </c>
    </row>
    <row r="6" s="2" customFormat="1" spans="1:12">
      <c r="A6" s="2" t="s">
        <v>156</v>
      </c>
      <c r="B6" s="2" t="s">
        <v>10</v>
      </c>
      <c r="C6" s="9">
        <v>45800</v>
      </c>
      <c r="D6" s="2">
        <v>335</v>
      </c>
      <c r="E6" s="2">
        <v>272</v>
      </c>
      <c r="F6" s="2">
        <v>335</v>
      </c>
      <c r="G6" s="2">
        <v>272</v>
      </c>
      <c r="H6" s="4">
        <f t="shared" si="0"/>
        <v>0.811940298507463</v>
      </c>
      <c r="I6" s="4">
        <f t="shared" si="1"/>
        <v>0.811940298507463</v>
      </c>
      <c r="J6" s="7">
        <f ca="1">F6-IFERROR(VLOOKUP($A6,'0526'!$A$1:'0526'!G$48,6,FALSE),IFERROR(VLOOKUP($C6,'0526'!$C$1:'0526'!G$48,4,FALSE),F6-D6))</f>
        <v>40</v>
      </c>
      <c r="K6" s="8">
        <f ca="1">G6-IFERROR(VLOOKUP($A6,'0526'!$A$1:'0526'!H$44,7,FALSE),IFERROR(VLOOKUP($C6,'0526'!$C$1:'0526'!H$44,5,FALSE),G6-E6))</f>
        <v>8</v>
      </c>
      <c r="L6" s="4">
        <f ca="1" t="shared" si="2"/>
        <v>0.2</v>
      </c>
    </row>
    <row r="7" s="2" customFormat="1" spans="1:12">
      <c r="A7" s="2" t="s">
        <v>151</v>
      </c>
      <c r="B7" s="2" t="s">
        <v>10</v>
      </c>
      <c r="C7" s="9">
        <v>45799</v>
      </c>
      <c r="D7" s="2">
        <v>142</v>
      </c>
      <c r="E7" s="2">
        <v>242</v>
      </c>
      <c r="F7" s="2">
        <v>142</v>
      </c>
      <c r="G7" s="2">
        <v>242</v>
      </c>
      <c r="H7" s="4">
        <f t="shared" si="0"/>
        <v>1.70422535211268</v>
      </c>
      <c r="I7" s="4">
        <f t="shared" si="1"/>
        <v>1.70422535211268</v>
      </c>
      <c r="J7" s="7">
        <f ca="1">F7-IFERROR(VLOOKUP($A7,'0526'!$A$1:'0526'!G$48,6,FALSE),IFERROR(VLOOKUP($C7,'0526'!$C$1:'0526'!G$48,4,FALSE),F7-D7))</f>
        <v>11</v>
      </c>
      <c r="K7" s="8">
        <f ca="1">G7-IFERROR(VLOOKUP($A7,'0526'!$A$1:'0526'!H$44,7,FALSE),IFERROR(VLOOKUP($C7,'0526'!$C$1:'0526'!H$44,5,FALSE),G7-E7))</f>
        <v>8</v>
      </c>
      <c r="L7" s="4">
        <f ca="1" t="shared" si="2"/>
        <v>0.727272727272727</v>
      </c>
    </row>
    <row r="8" s="2" customFormat="1" spans="1:13">
      <c r="A8" s="2" t="s">
        <v>148</v>
      </c>
      <c r="B8" s="2" t="s">
        <v>10</v>
      </c>
      <c r="C8" s="9">
        <v>45798</v>
      </c>
      <c r="D8" s="2">
        <v>198</v>
      </c>
      <c r="E8" s="2">
        <v>397</v>
      </c>
      <c r="F8" s="2">
        <v>198</v>
      </c>
      <c r="G8" s="2">
        <v>397</v>
      </c>
      <c r="H8" s="4">
        <f t="shared" si="0"/>
        <v>2.00505050505051</v>
      </c>
      <c r="I8" s="4">
        <f t="shared" si="1"/>
        <v>2.00505050505051</v>
      </c>
      <c r="J8" s="7">
        <f ca="1">F8-IFERROR(VLOOKUP($A8,'0526'!$A$1:'0526'!G$48,6,FALSE),IFERROR(VLOOKUP($C8,'0526'!$C$1:'0526'!G$48,4,FALSE),F8-D8))</f>
        <v>0</v>
      </c>
      <c r="K8" s="8">
        <f ca="1">G8-IFERROR(VLOOKUP($A8,'0526'!$A$1:'0526'!H$44,7,FALSE),IFERROR(VLOOKUP($C8,'0526'!$C$1:'0526'!H$44,5,FALSE),G8-E8))</f>
        <v>0</v>
      </c>
      <c r="L8" s="4">
        <f ca="1" t="shared" si="2"/>
        <v>0</v>
      </c>
      <c r="M8" s="2" t="s">
        <v>167</v>
      </c>
    </row>
    <row r="9" s="2" customFormat="1" spans="1:12">
      <c r="A9" s="2" t="s">
        <v>149</v>
      </c>
      <c r="B9" s="2" t="s">
        <v>10</v>
      </c>
      <c r="C9" s="9">
        <v>45798</v>
      </c>
      <c r="D9" s="2">
        <v>232</v>
      </c>
      <c r="E9" s="2">
        <v>242</v>
      </c>
      <c r="F9" s="2">
        <v>232</v>
      </c>
      <c r="G9" s="2">
        <v>242</v>
      </c>
      <c r="H9" s="4">
        <f t="shared" si="0"/>
        <v>1.04310344827586</v>
      </c>
      <c r="I9" s="4">
        <f t="shared" si="1"/>
        <v>1.04310344827586</v>
      </c>
      <c r="J9" s="7">
        <f ca="1">F9-IFERROR(VLOOKUP($A9,'0526'!$A$1:'0526'!G$48,6,FALSE),IFERROR(VLOOKUP($C9,'0526'!$C$1:'0526'!G$48,4,FALSE),F9-D9))</f>
        <v>5</v>
      </c>
      <c r="K9" s="8">
        <f ca="1">G9-IFERROR(VLOOKUP($A9,'0526'!$A$1:'0526'!H$44,7,FALSE),IFERROR(VLOOKUP($C9,'0526'!$C$1:'0526'!H$44,5,FALSE),G9-E9))</f>
        <v>0</v>
      </c>
      <c r="L9" s="4">
        <f ca="1" t="shared" si="2"/>
        <v>0</v>
      </c>
    </row>
    <row r="10" s="2" customFormat="1" spans="1:13">
      <c r="A10" s="2" t="s">
        <v>146</v>
      </c>
      <c r="B10" s="2" t="s">
        <v>10</v>
      </c>
      <c r="C10" s="9">
        <v>45797</v>
      </c>
      <c r="D10" s="2">
        <v>210</v>
      </c>
      <c r="E10" s="2">
        <v>628</v>
      </c>
      <c r="F10" s="2">
        <v>210</v>
      </c>
      <c r="G10" s="2">
        <v>628</v>
      </c>
      <c r="H10" s="4">
        <f t="shared" si="0"/>
        <v>2.99047619047619</v>
      </c>
      <c r="I10" s="4">
        <f t="shared" si="1"/>
        <v>2.99047619047619</v>
      </c>
      <c r="J10" s="7">
        <f ca="1">F10-IFERROR(VLOOKUP($A10,'0526'!$A$1:'0526'!G$48,6,FALSE),IFERROR(VLOOKUP($C10,'0526'!$C$1:'0526'!G$48,4,FALSE),F10-D10))</f>
        <v>18</v>
      </c>
      <c r="K10" s="8">
        <f ca="1">G10-IFERROR(VLOOKUP($A10,'0526'!$A$1:'0526'!H$44,7,FALSE),IFERROR(VLOOKUP($C10,'0526'!$C$1:'0526'!H$44,5,FALSE),G10-E10))</f>
        <v>51</v>
      </c>
      <c r="L10" s="4">
        <f ca="1" t="shared" si="2"/>
        <v>2.83333333333333</v>
      </c>
      <c r="M10" s="2" t="s">
        <v>152</v>
      </c>
    </row>
    <row r="11" s="2" customFormat="1" spans="1:14">
      <c r="A11" s="2" t="s">
        <v>142</v>
      </c>
      <c r="B11" s="2" t="s">
        <v>10</v>
      </c>
      <c r="C11" s="9">
        <v>45796</v>
      </c>
      <c r="D11" s="2">
        <v>83</v>
      </c>
      <c r="E11" s="2">
        <v>118</v>
      </c>
      <c r="F11" s="2">
        <v>150</v>
      </c>
      <c r="G11" s="2">
        <v>288</v>
      </c>
      <c r="H11" s="4">
        <f t="shared" si="0"/>
        <v>1.42168674698795</v>
      </c>
      <c r="I11" s="4">
        <f t="shared" si="1"/>
        <v>1.92</v>
      </c>
      <c r="J11" s="7">
        <f ca="1">F11-IFERROR(VLOOKUP($A11,'0526'!$A$1:'0526'!G$48,6,FALSE),IFERROR(VLOOKUP($C11,'0526'!$C$1:'0526'!G$48,4,FALSE),F11-D11))</f>
        <v>14</v>
      </c>
      <c r="K11" s="8">
        <f ca="1">G11-IFERROR(VLOOKUP($A11,'0526'!$A$1:'0526'!H$44,7,FALSE),IFERROR(VLOOKUP($C11,'0526'!$C$1:'0526'!H$44,5,FALSE),G11-E11))</f>
        <v>12</v>
      </c>
      <c r="L11" s="4">
        <f ca="1" t="shared" si="2"/>
        <v>0.857142857142857</v>
      </c>
      <c r="M11" s="2" t="s">
        <v>161</v>
      </c>
      <c r="N11" s="2" t="s">
        <v>168</v>
      </c>
    </row>
    <row r="12" s="2" customFormat="1" spans="1:12">
      <c r="A12" s="2" t="s">
        <v>132</v>
      </c>
      <c r="B12" s="2" t="s">
        <v>10</v>
      </c>
      <c r="C12" s="9">
        <v>45795</v>
      </c>
      <c r="D12" s="2">
        <v>93</v>
      </c>
      <c r="E12" s="2">
        <v>24</v>
      </c>
      <c r="F12" s="2">
        <v>203</v>
      </c>
      <c r="G12" s="2">
        <v>211</v>
      </c>
      <c r="H12" s="4">
        <f t="shared" si="0"/>
        <v>0.258064516129032</v>
      </c>
      <c r="I12" s="4">
        <f t="shared" si="1"/>
        <v>1.03940886699507</v>
      </c>
      <c r="J12" s="7">
        <f ca="1">F12-IFERROR(VLOOKUP($A12,'0526'!$A$1:'0526'!G$48,6,FALSE),IFERROR(VLOOKUP($C12,'0526'!$C$1:'0526'!G$48,4,FALSE),F12-D12))</f>
        <v>1</v>
      </c>
      <c r="K12" s="8">
        <f ca="1">G12-IFERROR(VLOOKUP($A12,'0526'!$A$1:'0526'!H$44,7,FALSE),IFERROR(VLOOKUP($C12,'0526'!$C$1:'0526'!H$44,5,FALSE),G12-E12))</f>
        <v>0</v>
      </c>
      <c r="L12" s="4">
        <f ca="1" t="shared" si="2"/>
        <v>0</v>
      </c>
    </row>
    <row r="13" s="2" customFormat="1" spans="1:13">
      <c r="A13" s="2" t="s">
        <v>129</v>
      </c>
      <c r="B13" s="2" t="s">
        <v>10</v>
      </c>
      <c r="C13" s="9">
        <v>45794</v>
      </c>
      <c r="D13" s="2">
        <v>93</v>
      </c>
      <c r="E13" s="2">
        <v>30</v>
      </c>
      <c r="F13" s="2">
        <v>203</v>
      </c>
      <c r="G13" s="2">
        <v>286</v>
      </c>
      <c r="H13" s="4">
        <f t="shared" si="0"/>
        <v>0.32258064516129</v>
      </c>
      <c r="I13" s="4">
        <f t="shared" si="1"/>
        <v>1.40886699507389</v>
      </c>
      <c r="J13" s="7">
        <f ca="1">F13-IFERROR(VLOOKUP($A13,'0526'!$A$1:'0526'!G$48,6,FALSE),IFERROR(VLOOKUP($C13,'0526'!$C$1:'0526'!G$48,4,FALSE),F13-D13))</f>
        <v>0</v>
      </c>
      <c r="K13" s="8">
        <f ca="1">G13-IFERROR(VLOOKUP($A13,'0526'!$A$1:'0526'!H$44,7,FALSE),IFERROR(VLOOKUP($C13,'0526'!$C$1:'0526'!H$44,5,FALSE),G13-E13))</f>
        <v>0</v>
      </c>
      <c r="L13" s="4">
        <f ca="1" t="shared" si="2"/>
        <v>0</v>
      </c>
      <c r="M13" s="2" t="s">
        <v>143</v>
      </c>
    </row>
    <row r="14" s="2" customFormat="1" spans="1:12">
      <c r="A14" s="2" t="s">
        <v>130</v>
      </c>
      <c r="B14" s="2" t="s">
        <v>10</v>
      </c>
      <c r="C14" s="9">
        <v>45794</v>
      </c>
      <c r="D14" s="2">
        <v>38541</v>
      </c>
      <c r="E14" s="2">
        <v>11280</v>
      </c>
      <c r="F14" s="2">
        <v>39464</v>
      </c>
      <c r="G14" s="2">
        <v>12118</v>
      </c>
      <c r="H14" s="4">
        <f t="shared" si="0"/>
        <v>0.292675332762513</v>
      </c>
      <c r="I14" s="4">
        <f t="shared" si="1"/>
        <v>0.307064666531522</v>
      </c>
      <c r="J14" s="7">
        <f ca="1">F14-IFERROR(VLOOKUP($A14,'0526'!$A$1:'0526'!G$48,6,FALSE),IFERROR(VLOOKUP($C14,'0526'!$C$1:'0526'!G$48,4,FALSE),F14-D14))</f>
        <v>609</v>
      </c>
      <c r="K14" s="8">
        <f ca="1">G14-IFERROR(VLOOKUP($A14,'0526'!$A$1:'0526'!H$44,7,FALSE),IFERROR(VLOOKUP($C14,'0526'!$C$1:'0526'!H$44,5,FALSE),G14-E14))</f>
        <v>213</v>
      </c>
      <c r="L14" s="4">
        <f ca="1" t="shared" si="2"/>
        <v>0.349753694581281</v>
      </c>
    </row>
    <row r="15" s="2" customFormat="1" spans="1:12">
      <c r="A15" s="2" t="s">
        <v>120</v>
      </c>
      <c r="B15" s="2" t="s">
        <v>10</v>
      </c>
      <c r="C15" s="9">
        <v>45793</v>
      </c>
      <c r="D15" s="2">
        <v>82</v>
      </c>
      <c r="E15" s="2">
        <v>30</v>
      </c>
      <c r="F15" s="2">
        <v>287</v>
      </c>
      <c r="G15" s="2">
        <v>478</v>
      </c>
      <c r="H15" s="4">
        <f t="shared" si="0"/>
        <v>0.365853658536585</v>
      </c>
      <c r="I15" s="4">
        <f t="shared" si="1"/>
        <v>1.66550522648084</v>
      </c>
      <c r="J15" s="7">
        <f ca="1">F15-IFERROR(VLOOKUP($A15,'0526'!$A$1:'0526'!G$48,6,FALSE),IFERROR(VLOOKUP($C15,'0526'!$C$1:'0526'!G$48,4,FALSE),F15-D15))</f>
        <v>27</v>
      </c>
      <c r="K15" s="8">
        <f ca="1">G15-IFERROR(VLOOKUP($A15,'0526'!$A$1:'0526'!H$44,7,FALSE),IFERROR(VLOOKUP($C15,'0526'!$C$1:'0526'!H$44,5,FALSE),G15-E15))</f>
        <v>6</v>
      </c>
      <c r="L15" s="4">
        <f ca="1" t="shared" si="2"/>
        <v>0.222222222222222</v>
      </c>
    </row>
    <row r="16" s="2" customFormat="1" spans="1:12">
      <c r="A16" s="2" t="s">
        <v>121</v>
      </c>
      <c r="B16" s="2" t="s">
        <v>10</v>
      </c>
      <c r="C16" s="9">
        <v>45793</v>
      </c>
      <c r="D16" s="2">
        <v>54</v>
      </c>
      <c r="E16" s="2">
        <v>8</v>
      </c>
      <c r="F16" s="2">
        <v>183</v>
      </c>
      <c r="G16" s="2">
        <v>207</v>
      </c>
      <c r="H16" s="4">
        <f t="shared" si="0"/>
        <v>0.148148148148148</v>
      </c>
      <c r="I16" s="4">
        <f t="shared" si="1"/>
        <v>1.13114754098361</v>
      </c>
      <c r="J16" s="7">
        <f ca="1">F16-IFERROR(VLOOKUP($A16,'0526'!$A$1:'0526'!G$48,6,FALSE),IFERROR(VLOOKUP($C16,'0526'!$C$1:'0526'!G$48,4,FALSE),F16-D16))</f>
        <v>1</v>
      </c>
      <c r="K16" s="8">
        <f ca="1">G16-IFERROR(VLOOKUP($A16,'0526'!$A$1:'0526'!H$44,7,FALSE),IFERROR(VLOOKUP($C16,'0526'!$C$1:'0526'!H$44,5,FALSE),G16-E16))</f>
        <v>0</v>
      </c>
      <c r="L16" s="4">
        <f ca="1" t="shared" si="2"/>
        <v>0</v>
      </c>
    </row>
    <row r="17" s="2" customFormat="1" spans="1:13">
      <c r="A17" s="2" t="s">
        <v>115</v>
      </c>
      <c r="B17" s="2" t="s">
        <v>10</v>
      </c>
      <c r="C17" s="9">
        <v>45792</v>
      </c>
      <c r="D17" s="2">
        <v>36</v>
      </c>
      <c r="E17" s="2">
        <v>4</v>
      </c>
      <c r="F17" s="2">
        <v>266</v>
      </c>
      <c r="G17" s="2">
        <v>230</v>
      </c>
      <c r="H17" s="4">
        <f t="shared" si="0"/>
        <v>0.111111111111111</v>
      </c>
      <c r="I17" s="4">
        <f t="shared" si="1"/>
        <v>0.864661654135338</v>
      </c>
      <c r="J17" s="2">
        <v>36</v>
      </c>
      <c r="K17" s="2">
        <v>4</v>
      </c>
      <c r="L17" s="4">
        <f t="shared" si="2"/>
        <v>0.111111111111111</v>
      </c>
      <c r="M17" s="2" t="s">
        <v>169</v>
      </c>
    </row>
    <row r="18" s="2" customFormat="1" spans="1:14">
      <c r="A18" s="2" t="s">
        <v>116</v>
      </c>
      <c r="B18" s="2" t="s">
        <v>10</v>
      </c>
      <c r="C18" s="9">
        <v>45792</v>
      </c>
      <c r="D18" s="2">
        <v>68</v>
      </c>
      <c r="E18" s="2">
        <v>348</v>
      </c>
      <c r="F18" s="2">
        <v>201</v>
      </c>
      <c r="G18" s="2">
        <v>774</v>
      </c>
      <c r="H18" s="4">
        <f t="shared" si="0"/>
        <v>5.11764705882353</v>
      </c>
      <c r="I18" s="4">
        <f t="shared" si="1"/>
        <v>3.85074626865672</v>
      </c>
      <c r="J18" s="7">
        <f ca="1">F18-IFERROR(VLOOKUP($A18,'0526'!$A$1:'0526'!G$48,6,FALSE),IFERROR(VLOOKUP($C18,'0526'!$C$1:'0526'!G$48,4,FALSE),F18-D18))</f>
        <v>3</v>
      </c>
      <c r="K18" s="8">
        <f ca="1">G18-IFERROR(VLOOKUP($A18,'0526'!$A$1:'0526'!H$44,7,FALSE),IFERROR(VLOOKUP($C18,'0526'!$C$1:'0526'!H$44,5,FALSE),G18-E18))</f>
        <v>0</v>
      </c>
      <c r="L18" s="4">
        <f ca="1" t="shared" si="2"/>
        <v>0</v>
      </c>
      <c r="M18" s="2" t="s">
        <v>133</v>
      </c>
      <c r="N18" s="2" t="s">
        <v>170</v>
      </c>
    </row>
    <row r="19" s="2" customFormat="1" spans="1:12">
      <c r="A19" s="2" t="s">
        <v>107</v>
      </c>
      <c r="B19" s="2" t="s">
        <v>10</v>
      </c>
      <c r="C19" s="9">
        <v>45790</v>
      </c>
      <c r="D19" s="2">
        <v>19</v>
      </c>
      <c r="E19" s="2">
        <v>6</v>
      </c>
      <c r="F19" s="2">
        <v>347</v>
      </c>
      <c r="G19" s="2">
        <v>312</v>
      </c>
      <c r="H19" s="4">
        <f t="shared" si="0"/>
        <v>0.315789473684211</v>
      </c>
      <c r="I19" s="4">
        <f t="shared" si="1"/>
        <v>0.899135446685879</v>
      </c>
      <c r="J19" s="7">
        <f ca="1">F19-IFERROR(VLOOKUP($A19,'0526'!$A$1:'0526'!G$48,6,FALSE),IFERROR(VLOOKUP($C19,'0526'!$C$1:'0526'!G$48,4,FALSE),F19-D19))</f>
        <v>4</v>
      </c>
      <c r="K19" s="8">
        <f ca="1">G19-IFERROR(VLOOKUP($A19,'0526'!$A$1:'0526'!H$44,7,FALSE),IFERROR(VLOOKUP($C19,'0526'!$C$1:'0526'!H$44,5,FALSE),G19-E19))</f>
        <v>0</v>
      </c>
      <c r="L19" s="4">
        <f ca="1" t="shared" si="2"/>
        <v>0</v>
      </c>
    </row>
    <row r="20" s="2" customFormat="1" spans="1:13">
      <c r="A20" s="2" t="s">
        <v>105</v>
      </c>
      <c r="B20" s="2" t="s">
        <v>10</v>
      </c>
      <c r="C20" s="9">
        <v>45789</v>
      </c>
      <c r="D20" s="2">
        <v>41</v>
      </c>
      <c r="E20" s="2">
        <v>6</v>
      </c>
      <c r="F20" s="2">
        <v>229</v>
      </c>
      <c r="G20" s="2">
        <v>570</v>
      </c>
      <c r="H20" s="4">
        <f t="shared" si="0"/>
        <v>0.146341463414634</v>
      </c>
      <c r="I20" s="4">
        <f t="shared" si="1"/>
        <v>2.48908296943231</v>
      </c>
      <c r="J20" s="7">
        <f ca="1">F20-IFERROR(VLOOKUP($A20,'0526'!$A$1:'0526'!G$48,6,FALSE),IFERROR(VLOOKUP($C20,'0526'!$C$1:'0526'!G$48,4,FALSE),F20-D20))</f>
        <v>1</v>
      </c>
      <c r="K20" s="8">
        <f ca="1">G20-IFERROR(VLOOKUP($A20,'0526'!$A$1:'0526'!H$44,7,FALSE),IFERROR(VLOOKUP($C20,'0526'!$C$1:'0526'!H$44,5,FALSE),G20-E20))</f>
        <v>0</v>
      </c>
      <c r="L20" s="4">
        <f ca="1" t="shared" si="2"/>
        <v>0</v>
      </c>
      <c r="M20" s="2" t="s">
        <v>131</v>
      </c>
    </row>
    <row r="21" s="2" customFormat="1" spans="1:13">
      <c r="A21" s="2" t="s">
        <v>88</v>
      </c>
      <c r="B21" s="2" t="s">
        <v>10</v>
      </c>
      <c r="C21" s="9">
        <v>45785</v>
      </c>
      <c r="D21" s="2">
        <v>14</v>
      </c>
      <c r="E21" s="2">
        <v>4</v>
      </c>
      <c r="F21" s="2">
        <v>328</v>
      </c>
      <c r="G21" s="2">
        <v>199</v>
      </c>
      <c r="H21" s="4">
        <f t="shared" si="0"/>
        <v>0.285714285714286</v>
      </c>
      <c r="I21" s="4">
        <f t="shared" si="1"/>
        <v>0.606707317073171</v>
      </c>
      <c r="J21" s="7">
        <f ca="1">F21-IFERROR(VLOOKUP($A21,'0526'!$A$1:'0526'!G$48,6,FALSE),IFERROR(VLOOKUP($C21,'0526'!$C$1:'0526'!G$48,4,FALSE),F21-D21))</f>
        <v>0</v>
      </c>
      <c r="K21" s="8">
        <f ca="1">G21-IFERROR(VLOOKUP($A21,'0526'!$A$1:'0526'!H$44,7,FALSE),IFERROR(VLOOKUP($C21,'0526'!$C$1:'0526'!H$44,5,FALSE),G21-E21))</f>
        <v>0</v>
      </c>
      <c r="L21" s="4">
        <f ca="1" t="shared" si="2"/>
        <v>0</v>
      </c>
      <c r="M21" s="2" t="s">
        <v>153</v>
      </c>
    </row>
    <row r="22" s="2" customFormat="1" spans="1:12">
      <c r="A22" s="2" t="s">
        <v>77</v>
      </c>
      <c r="B22" s="2" t="s">
        <v>10</v>
      </c>
      <c r="C22" s="9">
        <v>45782</v>
      </c>
      <c r="D22" s="2">
        <v>23</v>
      </c>
      <c r="E22" s="2">
        <v>17</v>
      </c>
      <c r="F22" s="2">
        <v>394</v>
      </c>
      <c r="G22" s="2">
        <v>237</v>
      </c>
      <c r="H22" s="4">
        <f t="shared" si="0"/>
        <v>0.739130434782609</v>
      </c>
      <c r="I22" s="4">
        <f t="shared" si="1"/>
        <v>0.601522842639594</v>
      </c>
      <c r="J22" s="7">
        <f ca="1">F22-IFERROR(VLOOKUP($A22,'0526'!$A$1:'0526'!G$48,6,FALSE),IFERROR(VLOOKUP($C22,'0526'!$C$1:'0526'!G$48,4,FALSE),F22-D22))</f>
        <v>4</v>
      </c>
      <c r="K22" s="8">
        <f ca="1">G22-IFERROR(VLOOKUP($A22,'0526'!$A$1:'0526'!H$44,7,FALSE),IFERROR(VLOOKUP($C22,'0526'!$C$1:'0526'!H$44,5,FALSE),G22-E22))</f>
        <v>0</v>
      </c>
      <c r="L22" s="4">
        <f ca="1" t="shared" si="2"/>
        <v>0</v>
      </c>
    </row>
    <row r="23" s="2" customFormat="1" spans="1:12">
      <c r="A23" s="2" t="s">
        <v>134</v>
      </c>
      <c r="B23" s="2" t="s">
        <v>10</v>
      </c>
      <c r="C23" s="9">
        <v>45780</v>
      </c>
      <c r="D23" s="2">
        <v>326</v>
      </c>
      <c r="E23" s="2">
        <v>12</v>
      </c>
      <c r="F23" s="2">
        <v>1822</v>
      </c>
      <c r="G23" s="2">
        <v>598</v>
      </c>
      <c r="H23" s="4">
        <f t="shared" si="0"/>
        <v>0.0368098159509202</v>
      </c>
      <c r="I23" s="4">
        <f t="shared" si="1"/>
        <v>0.32821075740944</v>
      </c>
      <c r="J23" s="7">
        <f ca="1">F23-IFERROR(VLOOKUP($A23,'0526'!$A$1:'0526'!G$48,6,FALSE),IFERROR(VLOOKUP($C23,'0526'!$C$1:'0526'!G$48,4,FALSE),F23-D23))</f>
        <v>16</v>
      </c>
      <c r="K23" s="8">
        <f ca="1">G23-IFERROR(VLOOKUP($A23,'0526'!$A$1:'0526'!H$44,7,FALSE),IFERROR(VLOOKUP($C23,'0526'!$C$1:'0526'!H$44,5,FALSE),G23-E23))</f>
        <v>0</v>
      </c>
      <c r="L23" s="4">
        <f ca="1" t="shared" si="2"/>
        <v>0</v>
      </c>
    </row>
    <row r="24" s="2" customFormat="1" spans="1:13">
      <c r="A24" s="2" t="s">
        <v>44</v>
      </c>
      <c r="B24" s="2" t="s">
        <v>10</v>
      </c>
      <c r="C24" s="9">
        <v>45761</v>
      </c>
      <c r="D24" s="2">
        <v>33</v>
      </c>
      <c r="E24" s="2">
        <v>5</v>
      </c>
      <c r="F24" s="2">
        <v>1137</v>
      </c>
      <c r="G24" s="2">
        <v>956</v>
      </c>
      <c r="H24" s="4">
        <f t="shared" si="0"/>
        <v>0.151515151515152</v>
      </c>
      <c r="I24" s="4">
        <f t="shared" si="1"/>
        <v>0.840809146877748</v>
      </c>
      <c r="J24" s="7">
        <f ca="1">F24-IFERROR(VLOOKUP($A24,'0526'!$A$1:'0526'!G$48,6,FALSE),IFERROR(VLOOKUP($C24,'0526'!$C$1:'0526'!G$48,4,FALSE),F24-D24))</f>
        <v>1</v>
      </c>
      <c r="K24" s="8">
        <f ca="1">G24-IFERROR(VLOOKUP($A24,'0526'!$A$1:'0526'!H$44,7,FALSE),IFERROR(VLOOKUP($C24,'0526'!$C$1:'0526'!H$44,5,FALSE),G24-E24))</f>
        <v>0</v>
      </c>
      <c r="L24" s="4">
        <f ca="1" t="shared" si="2"/>
        <v>0</v>
      </c>
      <c r="M24" s="2" t="s">
        <v>150</v>
      </c>
    </row>
    <row r="25" s="2" customFormat="1" spans="1:13">
      <c r="A25" s="2" t="s">
        <v>52</v>
      </c>
      <c r="B25" s="2" t="s">
        <v>10</v>
      </c>
      <c r="C25" s="9">
        <v>45743</v>
      </c>
      <c r="D25" s="2">
        <v>108</v>
      </c>
      <c r="E25" s="2">
        <v>20</v>
      </c>
      <c r="F25" s="2">
        <v>5314</v>
      </c>
      <c r="G25" s="2">
        <v>2111</v>
      </c>
      <c r="H25" s="4">
        <f t="shared" si="0"/>
        <v>0.185185185185185</v>
      </c>
      <c r="I25" s="4">
        <f t="shared" si="1"/>
        <v>0.397252540459164</v>
      </c>
      <c r="J25" s="7">
        <f ca="1">F25-IFERROR(VLOOKUP($A25,'0526'!$A$1:'0526'!G$48,6,FALSE),IFERROR(VLOOKUP($C25,'0526'!$C$1:'0526'!G$48,4,FALSE),F25-D25))</f>
        <v>26</v>
      </c>
      <c r="K25" s="8">
        <f ca="1">G25-IFERROR(VLOOKUP($A25,'0526'!$A$1:'0526'!H$44,7,FALSE),IFERROR(VLOOKUP($C25,'0526'!$C$1:'0526'!H$44,5,FALSE),G25-E25))</f>
        <v>0</v>
      </c>
      <c r="L25" s="4">
        <f ca="1" t="shared" si="2"/>
        <v>0</v>
      </c>
      <c r="M25" s="2" t="s">
        <v>159</v>
      </c>
    </row>
    <row r="26" s="2" customFormat="1" spans="1:13">
      <c r="A26" s="2" t="s">
        <v>56</v>
      </c>
      <c r="B26" s="2" t="s">
        <v>10</v>
      </c>
      <c r="C26" s="9">
        <v>45734</v>
      </c>
      <c r="D26" s="2">
        <v>35</v>
      </c>
      <c r="E26" s="2">
        <v>10</v>
      </c>
      <c r="F26" s="2">
        <v>560</v>
      </c>
      <c r="G26" s="2">
        <v>690</v>
      </c>
      <c r="H26" s="4">
        <f t="shared" si="0"/>
        <v>0.285714285714286</v>
      </c>
      <c r="I26" s="4">
        <f t="shared" si="1"/>
        <v>1.23214285714286</v>
      </c>
      <c r="J26" s="7">
        <f ca="1">F26-IFERROR(VLOOKUP($A26,'0526'!$A$1:'0526'!G$48,6,FALSE),IFERROR(VLOOKUP($C26,'0526'!$C$1:'0526'!G$48,4,FALSE),F26-D26))</f>
        <v>4</v>
      </c>
      <c r="K26" s="8">
        <f ca="1">G26-IFERROR(VLOOKUP($A26,'0526'!$A$1:'0526'!H$44,7,FALSE),IFERROR(VLOOKUP($C26,'0526'!$C$1:'0526'!H$44,5,FALSE),G26-E26))</f>
        <v>0</v>
      </c>
      <c r="L26" s="4">
        <f ca="1" t="shared" si="2"/>
        <v>0</v>
      </c>
      <c r="M26" s="2" t="s">
        <v>147</v>
      </c>
    </row>
    <row r="27" s="2" customFormat="1" spans="1:13">
      <c r="A27" s="2" t="s">
        <v>123</v>
      </c>
      <c r="B27" s="2" t="s">
        <v>10</v>
      </c>
      <c r="C27" s="9">
        <v>45685</v>
      </c>
      <c r="D27" s="2">
        <v>65</v>
      </c>
      <c r="E27" s="2">
        <v>9</v>
      </c>
      <c r="F27" s="2">
        <v>223</v>
      </c>
      <c r="G27" s="2">
        <v>533</v>
      </c>
      <c r="H27" s="4">
        <f t="shared" si="0"/>
        <v>0.138461538461538</v>
      </c>
      <c r="I27" s="4">
        <f t="shared" si="1"/>
        <v>2.39013452914798</v>
      </c>
      <c r="J27" s="7">
        <f ca="1">F27-IFERROR(VLOOKUP($A27,'0526'!$A$1:'0526'!G$48,6,FALSE),IFERROR(VLOOKUP($C27,'0526'!$C$1:'0526'!G$48,4,FALSE),F27-D27))</f>
        <v>12</v>
      </c>
      <c r="K27" s="8">
        <f ca="1">G27-IFERROR(VLOOKUP($A27,'0526'!$A$1:'0526'!H$44,7,FALSE),IFERROR(VLOOKUP($C27,'0526'!$C$1:'0526'!H$44,5,FALSE),G27-E27))</f>
        <v>0</v>
      </c>
      <c r="L27" s="4">
        <f ca="1" t="shared" si="2"/>
        <v>0</v>
      </c>
      <c r="M27" s="2" t="s">
        <v>162</v>
      </c>
    </row>
    <row r="28" s="2" customFormat="1" spans="1:13">
      <c r="A28" s="2" t="s">
        <v>154</v>
      </c>
      <c r="B28" s="2" t="s">
        <v>10</v>
      </c>
      <c r="C28" s="9">
        <v>45619</v>
      </c>
      <c r="D28" s="2">
        <v>67</v>
      </c>
      <c r="E28" s="2">
        <v>4</v>
      </c>
      <c r="F28" s="2">
        <v>1852</v>
      </c>
      <c r="G28" s="2">
        <v>845</v>
      </c>
      <c r="H28" s="4">
        <f t="shared" si="0"/>
        <v>0.0597014925373134</v>
      </c>
      <c r="I28" s="4">
        <f t="shared" si="1"/>
        <v>0.456263498920086</v>
      </c>
      <c r="J28" s="7">
        <f ca="1">F28-IFERROR(VLOOKUP($A28,'0526'!$A$1:'0526'!G$48,6,FALSE),IFERROR(VLOOKUP($C28,'0526'!$C$1:'0526'!G$48,4,FALSE),F28-D28))</f>
        <v>14</v>
      </c>
      <c r="K28" s="8">
        <f ca="1">G28-IFERROR(VLOOKUP($A28,'0526'!$A$1:'0526'!H$44,7,FALSE),IFERROR(VLOOKUP($C28,'0526'!$C$1:'0526'!H$44,5,FALSE),G28-E28))</f>
        <v>0</v>
      </c>
      <c r="L28" s="4">
        <f ca="1" t="shared" si="2"/>
        <v>0</v>
      </c>
      <c r="M28" s="2" t="s">
        <v>155</v>
      </c>
    </row>
    <row r="29" s="2" customFormat="1" spans="1:13">
      <c r="A29" s="2" t="s">
        <v>127</v>
      </c>
      <c r="B29" s="2" t="s">
        <v>10</v>
      </c>
      <c r="C29" s="9">
        <v>45547</v>
      </c>
      <c r="D29" s="2">
        <v>47</v>
      </c>
      <c r="E29" s="2">
        <v>1</v>
      </c>
      <c r="F29" s="2">
        <v>9147</v>
      </c>
      <c r="G29" s="2">
        <v>2510</v>
      </c>
      <c r="H29" s="4">
        <f t="shared" si="0"/>
        <v>0.0212765957446809</v>
      </c>
      <c r="I29" s="4">
        <f t="shared" si="1"/>
        <v>0.274406909369192</v>
      </c>
      <c r="J29" s="7">
        <f ca="1">F29-IFERROR(VLOOKUP($A29,'0526'!$A$1:'0526'!G$48,6,FALSE),IFERROR(VLOOKUP($C29,'0526'!$C$1:'0526'!G$48,4,FALSE),F29-D29))</f>
        <v>11</v>
      </c>
      <c r="K29" s="8">
        <f ca="1">G29-IFERROR(VLOOKUP($A29,'0526'!$A$1:'0526'!H$44,7,FALSE),IFERROR(VLOOKUP($C29,'0526'!$C$1:'0526'!H$44,5,FALSE),G29-E29))</f>
        <v>0</v>
      </c>
      <c r="L29" s="4">
        <f ca="1" t="shared" si="2"/>
        <v>0</v>
      </c>
      <c r="M29" s="2" t="s">
        <v>163</v>
      </c>
    </row>
    <row r="30" spans="11:11">
      <c r="K30" s="2">
        <f ca="1">SUM(K2:K29)</f>
        <v>855</v>
      </c>
    </row>
    <row r="31" spans="13:13">
      <c r="M31" s="12" t="s">
        <v>139</v>
      </c>
    </row>
    <row r="36" spans="8:12">
      <c r="H36" s="10">
        <v>2.08823529411765</v>
      </c>
      <c r="I36" s="10">
        <v>6.54054054054054</v>
      </c>
      <c r="J36" s="11">
        <v>2</v>
      </c>
      <c r="K36" s="11">
        <v>0</v>
      </c>
      <c r="L36" s="10">
        <v>0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"/>
  <sheetViews>
    <sheetView workbookViewId="0">
      <selection activeCell="J2" sqref="J2"/>
    </sheetView>
  </sheetViews>
  <sheetFormatPr defaultColWidth="10" defaultRowHeight="14.4"/>
  <cols>
    <col min="1" max="1" width="53.4444444444444" style="2" customWidth="1"/>
    <col min="2" max="2" width="0.333333333333333" style="2" customWidth="1"/>
    <col min="3" max="3" width="10.7777777777778" style="2" customWidth="1"/>
    <col min="4" max="7" width="5.88888888888889" style="2" customWidth="1"/>
    <col min="8" max="9" width="6.77777777777778" style="2" customWidth="1"/>
    <col min="10" max="10" width="7.66666666666667" style="2" customWidth="1"/>
    <col min="11" max="12" width="6.77777777777778" style="2" customWidth="1"/>
    <col min="13" max="13" width="20.3333333333333" style="2" customWidth="1"/>
    <col min="14" max="14" width="19.1111111111111" style="2" customWidth="1"/>
    <col min="15" max="16384" width="10" style="2"/>
  </cols>
  <sheetData>
    <row r="1" s="2" customForma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J1" s="5" t="s">
        <v>7</v>
      </c>
      <c r="K1" s="5" t="s">
        <v>8</v>
      </c>
      <c r="M1" s="6" t="s">
        <v>157</v>
      </c>
    </row>
    <row r="2" s="2" customFormat="1" spans="1:13">
      <c r="A2" s="2" t="s">
        <v>171</v>
      </c>
      <c r="B2" s="2" t="s">
        <v>10</v>
      </c>
      <c r="C2" s="9">
        <v>45804</v>
      </c>
      <c r="D2" s="2">
        <v>75</v>
      </c>
      <c r="E2" s="2">
        <v>411</v>
      </c>
      <c r="F2" s="2">
        <v>75</v>
      </c>
      <c r="G2" s="2">
        <v>411</v>
      </c>
      <c r="H2" s="4">
        <f t="shared" ref="H2:H29" si="0">E2/D2</f>
        <v>5.48</v>
      </c>
      <c r="I2" s="4">
        <f t="shared" ref="I2:I29" si="1">G2/F2</f>
        <v>5.48</v>
      </c>
      <c r="J2" s="7">
        <f ca="1">F2-IFERROR(VLOOKUP($A2,'0527'!$A$1:'0527'!G$48,6,FALSE),IFERROR(VLOOKUP($C2,'0527'!$C$1:'0527'!G$48,4,FALSE),F2-D2))</f>
        <v>75</v>
      </c>
      <c r="K2" s="8">
        <f ca="1">G2-IFERROR(VLOOKUP($A2,'0527'!$A$1:'0527'!H$44,7,FALSE),IFERROR(VLOOKUP($C2,'0527'!$C$1:'0527'!H$44,5,FALSE),G2-E2))</f>
        <v>411</v>
      </c>
      <c r="L2" s="4">
        <f ca="1" t="shared" ref="L2:L29" si="2">IFERROR(K2/J2,)</f>
        <v>5.48</v>
      </c>
      <c r="M2" s="6"/>
    </row>
    <row r="3" s="2" customFormat="1" spans="1:13">
      <c r="A3" s="2" t="s">
        <v>172</v>
      </c>
      <c r="B3" s="2" t="s">
        <v>10</v>
      </c>
      <c r="C3" s="9">
        <v>45804</v>
      </c>
      <c r="D3" s="2">
        <v>48</v>
      </c>
      <c r="E3" s="2">
        <v>183</v>
      </c>
      <c r="F3" s="2">
        <v>48</v>
      </c>
      <c r="G3" s="2">
        <v>183</v>
      </c>
      <c r="H3" s="4">
        <f t="shared" si="0"/>
        <v>3.8125</v>
      </c>
      <c r="I3" s="4">
        <f t="shared" si="1"/>
        <v>3.8125</v>
      </c>
      <c r="J3" s="7">
        <f ca="1">F3-IFERROR(VLOOKUP($A3,'0527'!$A$1:'0527'!G$48,6,FALSE),IFERROR(VLOOKUP($C3,'0527'!$C$1:'0527'!G$48,4,FALSE),F3-D3))</f>
        <v>48</v>
      </c>
      <c r="K3" s="8">
        <f ca="1">G3-IFERROR(VLOOKUP($A3,'0527'!$A$1:'0527'!H$44,7,FALSE),IFERROR(VLOOKUP($C3,'0527'!$C$1:'0527'!H$44,5,FALSE),G3-E3))</f>
        <v>183</v>
      </c>
      <c r="L3" s="4">
        <f ca="1" t="shared" si="2"/>
        <v>3.8125</v>
      </c>
      <c r="M3" s="6"/>
    </row>
    <row r="4" s="2" customFormat="1" spans="1:13">
      <c r="A4" s="2" t="s">
        <v>164</v>
      </c>
      <c r="B4" s="2" t="s">
        <v>10</v>
      </c>
      <c r="C4" s="9">
        <v>45803</v>
      </c>
      <c r="D4" s="2">
        <v>128</v>
      </c>
      <c r="E4" s="2">
        <v>392</v>
      </c>
      <c r="F4" s="2">
        <v>128</v>
      </c>
      <c r="G4" s="2">
        <v>392</v>
      </c>
      <c r="H4" s="4">
        <f t="shared" si="0"/>
        <v>3.0625</v>
      </c>
      <c r="I4" s="4">
        <f t="shared" si="1"/>
        <v>3.0625</v>
      </c>
      <c r="J4" s="7">
        <f ca="1">F4-IFERROR(VLOOKUP($A4,'0527'!$A$1:'0527'!G$48,6,FALSE),IFERROR(VLOOKUP($C4,'0527'!$C$1:'0527'!G$48,4,FALSE),F4-D4))</f>
        <v>68</v>
      </c>
      <c r="K4" s="8">
        <f ca="1">G4-IFERROR(VLOOKUP($A4,'0527'!$A$1:'0527'!H$44,7,FALSE),IFERROR(VLOOKUP($C4,'0527'!$C$1:'0527'!H$44,5,FALSE),G4-E4))</f>
        <v>194</v>
      </c>
      <c r="L4" s="4">
        <f ca="1" t="shared" si="2"/>
        <v>2.85294117647059</v>
      </c>
      <c r="M4" s="6"/>
    </row>
    <row r="5" s="2" customFormat="1" spans="1:13">
      <c r="A5" s="2" t="s">
        <v>165</v>
      </c>
      <c r="B5" s="2" t="s">
        <v>10</v>
      </c>
      <c r="C5" s="9">
        <v>45803</v>
      </c>
      <c r="D5" s="2">
        <v>448</v>
      </c>
      <c r="E5" s="2">
        <v>436</v>
      </c>
      <c r="F5" s="2">
        <v>448</v>
      </c>
      <c r="G5" s="2">
        <v>436</v>
      </c>
      <c r="H5" s="4">
        <f t="shared" si="0"/>
        <v>0.973214285714286</v>
      </c>
      <c r="I5" s="4">
        <f t="shared" si="1"/>
        <v>0.973214285714286</v>
      </c>
      <c r="J5" s="7">
        <f ca="1">F5-IFERROR(VLOOKUP($A5,'0527'!$A$1:'0527'!G$48,6,FALSE),IFERROR(VLOOKUP($C5,'0527'!$C$1:'0527'!G$48,4,FALSE),F5-D5))</f>
        <v>341</v>
      </c>
      <c r="K5" s="8">
        <f ca="1">G5-IFERROR(VLOOKUP($A5,'0527'!$A$1:'0527'!H$44,7,FALSE),IFERROR(VLOOKUP($C5,'0527'!$C$1:'0527'!H$44,5,FALSE),G5-E5))</f>
        <v>116</v>
      </c>
      <c r="L5" s="4">
        <f ca="1" t="shared" si="2"/>
        <v>0.340175953079179</v>
      </c>
      <c r="M5" s="6" t="s">
        <v>166</v>
      </c>
    </row>
    <row r="6" s="2" customFormat="1" spans="1:13">
      <c r="A6" s="2" t="s">
        <v>160</v>
      </c>
      <c r="B6" s="2" t="s">
        <v>10</v>
      </c>
      <c r="C6" s="9">
        <v>45802</v>
      </c>
      <c r="D6" s="2">
        <v>97</v>
      </c>
      <c r="E6" s="2">
        <v>126</v>
      </c>
      <c r="F6" s="2">
        <v>97</v>
      </c>
      <c r="G6" s="2">
        <v>126</v>
      </c>
      <c r="H6" s="4">
        <f t="shared" si="0"/>
        <v>1.29896907216495</v>
      </c>
      <c r="I6" s="4">
        <f t="shared" si="1"/>
        <v>1.29896907216495</v>
      </c>
      <c r="J6" s="7">
        <f ca="1">F6-IFERROR(VLOOKUP($A6,'0527'!$A$1:'0527'!G$48,6,FALSE),IFERROR(VLOOKUP($C6,'0527'!$C$1:'0527'!G$48,4,FALSE),F6-D6))</f>
        <v>1</v>
      </c>
      <c r="K6" s="8">
        <f ca="1">G6-IFERROR(VLOOKUP($A6,'0527'!$A$1:'0527'!H$44,7,FALSE),IFERROR(VLOOKUP($C6,'0527'!$C$1:'0527'!H$44,5,FALSE),G6-E6))</f>
        <v>6</v>
      </c>
      <c r="L6" s="4">
        <f ca="1" t="shared" si="2"/>
        <v>6</v>
      </c>
      <c r="M6" s="6" t="s">
        <v>173</v>
      </c>
    </row>
    <row r="7" s="2" customFormat="1" spans="1:12">
      <c r="A7" s="2" t="s">
        <v>158</v>
      </c>
      <c r="B7" s="2" t="s">
        <v>10</v>
      </c>
      <c r="C7" s="9">
        <v>45801</v>
      </c>
      <c r="D7" s="2">
        <v>281</v>
      </c>
      <c r="E7" s="2">
        <v>440</v>
      </c>
      <c r="F7" s="2">
        <v>281</v>
      </c>
      <c r="G7" s="2">
        <v>440</v>
      </c>
      <c r="H7" s="4">
        <f t="shared" si="0"/>
        <v>1.56583629893238</v>
      </c>
      <c r="I7" s="4">
        <f t="shared" si="1"/>
        <v>1.56583629893238</v>
      </c>
      <c r="J7" s="7">
        <f ca="1">F7-IFERROR(VLOOKUP($A7,'0527'!$A$1:'0527'!G$48,6,FALSE),IFERROR(VLOOKUP($C7,'0527'!$C$1:'0527'!G$48,4,FALSE),F7-D7))</f>
        <v>34</v>
      </c>
      <c r="K7" s="8">
        <f ca="1">G7-IFERROR(VLOOKUP($A7,'0527'!$A$1:'0527'!H$44,7,FALSE),IFERROR(VLOOKUP($C7,'0527'!$C$1:'0527'!H$44,5,FALSE),G7-E7))</f>
        <v>14</v>
      </c>
      <c r="L7" s="4">
        <f ca="1" t="shared" si="2"/>
        <v>0.411764705882353</v>
      </c>
    </row>
    <row r="8" s="2" customFormat="1" spans="1:12">
      <c r="A8" s="2" t="s">
        <v>156</v>
      </c>
      <c r="B8" s="2" t="s">
        <v>10</v>
      </c>
      <c r="C8" s="9">
        <v>45800</v>
      </c>
      <c r="D8" s="2">
        <v>981</v>
      </c>
      <c r="E8" s="2">
        <v>293</v>
      </c>
      <c r="F8" s="2">
        <v>981</v>
      </c>
      <c r="G8" s="2">
        <v>293</v>
      </c>
      <c r="H8" s="4">
        <f t="shared" si="0"/>
        <v>0.298674821610601</v>
      </c>
      <c r="I8" s="4">
        <f t="shared" si="1"/>
        <v>0.298674821610601</v>
      </c>
      <c r="J8" s="7">
        <f ca="1">F8-IFERROR(VLOOKUP($A8,'0527'!$A$1:'0527'!G$48,6,FALSE),IFERROR(VLOOKUP($C8,'0527'!$C$1:'0527'!G$48,4,FALSE),F8-D8))</f>
        <v>646</v>
      </c>
      <c r="K8" s="8">
        <f ca="1">G8-IFERROR(VLOOKUP($A8,'0527'!$A$1:'0527'!H$44,7,FALSE),IFERROR(VLOOKUP($C8,'0527'!$C$1:'0527'!H$44,5,FALSE),G8-E8))</f>
        <v>21</v>
      </c>
      <c r="L8" s="4">
        <f ca="1" t="shared" si="2"/>
        <v>0.0325077399380805</v>
      </c>
    </row>
    <row r="9" s="2" customFormat="1" spans="1:12">
      <c r="A9" s="2" t="s">
        <v>151</v>
      </c>
      <c r="B9" s="2" t="s">
        <v>10</v>
      </c>
      <c r="C9" s="9">
        <v>45799</v>
      </c>
      <c r="D9" s="2">
        <v>151</v>
      </c>
      <c r="E9" s="2">
        <v>254</v>
      </c>
      <c r="F9" s="2">
        <v>151</v>
      </c>
      <c r="G9" s="2">
        <v>254</v>
      </c>
      <c r="H9" s="4">
        <f t="shared" si="0"/>
        <v>1.68211920529801</v>
      </c>
      <c r="I9" s="4">
        <f t="shared" si="1"/>
        <v>1.68211920529801</v>
      </c>
      <c r="J9" s="7">
        <f ca="1">F9-IFERROR(VLOOKUP($A9,'0527'!$A$1:'0527'!G$48,6,FALSE),IFERROR(VLOOKUP($C9,'0527'!$C$1:'0527'!G$48,4,FALSE),F9-D9))</f>
        <v>9</v>
      </c>
      <c r="K9" s="8">
        <f ca="1">G9-IFERROR(VLOOKUP($A9,'0527'!$A$1:'0527'!H$44,7,FALSE),IFERROR(VLOOKUP($C9,'0527'!$C$1:'0527'!H$44,5,FALSE),G9-E9))</f>
        <v>12</v>
      </c>
      <c r="L9" s="4">
        <f ca="1" t="shared" si="2"/>
        <v>1.33333333333333</v>
      </c>
    </row>
    <row r="10" s="2" customFormat="1" spans="1:14">
      <c r="A10" s="2" t="s">
        <v>148</v>
      </c>
      <c r="B10" s="2" t="s">
        <v>10</v>
      </c>
      <c r="C10" s="9">
        <v>45798</v>
      </c>
      <c r="D10" s="2">
        <v>215</v>
      </c>
      <c r="E10" s="2">
        <v>442</v>
      </c>
      <c r="F10" s="2">
        <v>215</v>
      </c>
      <c r="G10" s="2">
        <v>442</v>
      </c>
      <c r="H10" s="4">
        <f t="shared" si="0"/>
        <v>2.05581395348837</v>
      </c>
      <c r="I10" s="4">
        <f t="shared" si="1"/>
        <v>2.05581395348837</v>
      </c>
      <c r="J10" s="7">
        <f ca="1">F10-IFERROR(VLOOKUP($A10,'0527'!$A$1:'0527'!G$48,6,FALSE),IFERROR(VLOOKUP($C10,'0527'!$C$1:'0527'!G$48,4,FALSE),F10-D10))</f>
        <v>17</v>
      </c>
      <c r="K10" s="8">
        <f ca="1">G10-IFERROR(VLOOKUP($A10,'0527'!$A$1:'0527'!H$44,7,FALSE),IFERROR(VLOOKUP($C10,'0527'!$C$1:'0527'!H$44,5,FALSE),G10-E10))</f>
        <v>45</v>
      </c>
      <c r="L10" s="4">
        <f ca="1" t="shared" si="2"/>
        <v>2.64705882352941</v>
      </c>
      <c r="M10" s="2" t="s">
        <v>167</v>
      </c>
      <c r="N10" s="2" t="s">
        <v>174</v>
      </c>
    </row>
    <row r="11" s="2" customFormat="1" spans="1:12">
      <c r="A11" s="2" t="s">
        <v>149</v>
      </c>
      <c r="B11" s="2" t="s">
        <v>10</v>
      </c>
      <c r="C11" s="9">
        <v>45798</v>
      </c>
      <c r="D11" s="2">
        <v>238</v>
      </c>
      <c r="E11" s="2">
        <v>242</v>
      </c>
      <c r="F11" s="2">
        <v>238</v>
      </c>
      <c r="G11" s="2">
        <v>242</v>
      </c>
      <c r="H11" s="4">
        <f t="shared" si="0"/>
        <v>1.01680672268908</v>
      </c>
      <c r="I11" s="4">
        <f t="shared" si="1"/>
        <v>1.01680672268908</v>
      </c>
      <c r="J11" s="7">
        <f ca="1">F11-IFERROR(VLOOKUP($A11,'0527'!$A$1:'0527'!G$48,6,FALSE),IFERROR(VLOOKUP($C11,'0527'!$C$1:'0527'!G$48,4,FALSE),F11-D11))</f>
        <v>6</v>
      </c>
      <c r="K11" s="8">
        <f ca="1">G11-IFERROR(VLOOKUP($A11,'0527'!$A$1:'0527'!H$44,7,FALSE),IFERROR(VLOOKUP($C11,'0527'!$C$1:'0527'!H$44,5,FALSE),G11-E11))</f>
        <v>0</v>
      </c>
      <c r="L11" s="4">
        <f ca="1" t="shared" si="2"/>
        <v>0</v>
      </c>
    </row>
    <row r="12" s="2" customFormat="1" spans="1:13">
      <c r="A12" s="2" t="s">
        <v>146</v>
      </c>
      <c r="B12" s="2" t="s">
        <v>10</v>
      </c>
      <c r="C12" s="9">
        <v>45797</v>
      </c>
      <c r="D12" s="2">
        <v>148</v>
      </c>
      <c r="E12" s="2">
        <v>514</v>
      </c>
      <c r="F12" s="2">
        <v>225</v>
      </c>
      <c r="G12" s="2">
        <v>705</v>
      </c>
      <c r="H12" s="4">
        <f t="shared" si="0"/>
        <v>3.47297297297297</v>
      </c>
      <c r="I12" s="4">
        <f t="shared" si="1"/>
        <v>3.13333333333333</v>
      </c>
      <c r="J12" s="7">
        <f ca="1">F12-IFERROR(VLOOKUP($A12,'0527'!$A$1:'0527'!G$48,6,FALSE),IFERROR(VLOOKUP($C12,'0527'!$C$1:'0527'!G$48,4,FALSE),F12-D12))</f>
        <v>15</v>
      </c>
      <c r="K12" s="8">
        <f ca="1">G12-IFERROR(VLOOKUP($A12,'0527'!$A$1:'0527'!H$44,7,FALSE),IFERROR(VLOOKUP($C12,'0527'!$C$1:'0527'!H$44,5,FALSE),G12-E12))</f>
        <v>77</v>
      </c>
      <c r="L12" s="4">
        <f ca="1" t="shared" si="2"/>
        <v>5.13333333333333</v>
      </c>
      <c r="M12" s="2" t="s">
        <v>152</v>
      </c>
    </row>
    <row r="13" s="2" customFormat="1" spans="1:14">
      <c r="A13" s="2" t="s">
        <v>142</v>
      </c>
      <c r="B13" s="2" t="s">
        <v>10</v>
      </c>
      <c r="C13" s="9">
        <v>45796</v>
      </c>
      <c r="D13" s="2">
        <v>60</v>
      </c>
      <c r="E13" s="2">
        <v>58</v>
      </c>
      <c r="F13" s="2">
        <v>161</v>
      </c>
      <c r="G13" s="2">
        <v>305</v>
      </c>
      <c r="H13" s="4">
        <f t="shared" si="0"/>
        <v>0.966666666666667</v>
      </c>
      <c r="I13" s="4">
        <f t="shared" si="1"/>
        <v>1.8944099378882</v>
      </c>
      <c r="J13" s="7">
        <f ca="1">F13-IFERROR(VLOOKUP($A13,'0527'!$A$1:'0527'!G$48,6,FALSE),IFERROR(VLOOKUP($C13,'0527'!$C$1:'0527'!G$48,4,FALSE),F13-D13))</f>
        <v>11</v>
      </c>
      <c r="K13" s="8">
        <f ca="1">G13-IFERROR(VLOOKUP($A13,'0527'!$A$1:'0527'!H$44,7,FALSE),IFERROR(VLOOKUP($C13,'0527'!$C$1:'0527'!H$44,5,FALSE),G13-E13))</f>
        <v>17</v>
      </c>
      <c r="L13" s="4">
        <f ca="1" t="shared" si="2"/>
        <v>1.54545454545455</v>
      </c>
      <c r="M13" s="2" t="s">
        <v>161</v>
      </c>
      <c r="N13" s="2" t="s">
        <v>168</v>
      </c>
    </row>
    <row r="14" s="2" customFormat="1" spans="1:12">
      <c r="A14" s="2" t="s">
        <v>132</v>
      </c>
      <c r="B14" s="2" t="s">
        <v>10</v>
      </c>
      <c r="C14" s="9">
        <v>45795</v>
      </c>
      <c r="D14" s="2">
        <v>56</v>
      </c>
      <c r="E14" s="2">
        <v>16</v>
      </c>
      <c r="F14" s="2">
        <v>205</v>
      </c>
      <c r="G14" s="2">
        <v>211</v>
      </c>
      <c r="H14" s="4">
        <f t="shared" si="0"/>
        <v>0.285714285714286</v>
      </c>
      <c r="I14" s="4">
        <f t="shared" si="1"/>
        <v>1.02926829268293</v>
      </c>
      <c r="J14" s="7">
        <f ca="1">F14-IFERROR(VLOOKUP($A14,'0527'!$A$1:'0527'!G$48,6,FALSE),IFERROR(VLOOKUP($C14,'0527'!$C$1:'0527'!G$48,4,FALSE),F14-D14))</f>
        <v>2</v>
      </c>
      <c r="K14" s="8">
        <f ca="1">G14-IFERROR(VLOOKUP($A14,'0527'!$A$1:'0527'!H$44,7,FALSE),IFERROR(VLOOKUP($C14,'0527'!$C$1:'0527'!H$44,5,FALSE),G14-E14))</f>
        <v>0</v>
      </c>
      <c r="L14" s="4">
        <f ca="1" t="shared" si="2"/>
        <v>0</v>
      </c>
    </row>
    <row r="15" s="2" customFormat="1" spans="1:12">
      <c r="A15" s="2" t="s">
        <v>130</v>
      </c>
      <c r="B15" s="2" t="s">
        <v>10</v>
      </c>
      <c r="C15" s="9">
        <v>45794</v>
      </c>
      <c r="D15" s="2">
        <v>37245</v>
      </c>
      <c r="E15" s="2">
        <v>10937</v>
      </c>
      <c r="F15" s="2">
        <v>39853</v>
      </c>
      <c r="G15" s="2">
        <v>12299</v>
      </c>
      <c r="H15" s="4">
        <f t="shared" si="0"/>
        <v>0.293650154383139</v>
      </c>
      <c r="I15" s="4">
        <f t="shared" si="1"/>
        <v>0.308609138584297</v>
      </c>
      <c r="J15" s="7">
        <f ca="1">F15-IFERROR(VLOOKUP($A15,'0527'!$A$1:'0527'!G$48,6,FALSE),IFERROR(VLOOKUP($C15,'0527'!$C$1:'0527'!G$48,4,FALSE),F15-D15))</f>
        <v>389</v>
      </c>
      <c r="K15" s="8">
        <f ca="1">G15-IFERROR(VLOOKUP($A15,'0527'!$A$1:'0527'!H$44,7,FALSE),IFERROR(VLOOKUP($C15,'0527'!$C$1:'0527'!H$44,5,FALSE),G15-E15))</f>
        <v>181</v>
      </c>
      <c r="L15" s="4">
        <f ca="1" t="shared" si="2"/>
        <v>0.465295629820051</v>
      </c>
    </row>
    <row r="16" s="2" customFormat="1" spans="1:12">
      <c r="A16" s="2" t="s">
        <v>120</v>
      </c>
      <c r="B16" s="2" t="s">
        <v>10</v>
      </c>
      <c r="C16" s="9">
        <v>45793</v>
      </c>
      <c r="D16" s="2">
        <v>75</v>
      </c>
      <c r="E16" s="2">
        <v>55</v>
      </c>
      <c r="F16" s="2">
        <v>295</v>
      </c>
      <c r="G16" s="2">
        <v>503</v>
      </c>
      <c r="H16" s="4">
        <f t="shared" si="0"/>
        <v>0.733333333333333</v>
      </c>
      <c r="I16" s="4">
        <f t="shared" si="1"/>
        <v>1.70508474576271</v>
      </c>
      <c r="J16" s="7">
        <f ca="1">F16-IFERROR(VLOOKUP($A16,'0527'!$A$1:'0527'!G$48,6,FALSE),IFERROR(VLOOKUP($C16,'0527'!$C$1:'0527'!G$48,4,FALSE),F16-D16))</f>
        <v>8</v>
      </c>
      <c r="K16" s="8">
        <f ca="1">G16-IFERROR(VLOOKUP($A16,'0527'!$A$1:'0527'!H$44,7,FALSE),IFERROR(VLOOKUP($C16,'0527'!$C$1:'0527'!H$44,5,FALSE),G16-E16))</f>
        <v>25</v>
      </c>
      <c r="L16" s="4">
        <f ca="1" t="shared" si="2"/>
        <v>3.125</v>
      </c>
    </row>
    <row r="17" s="2" customFormat="1" spans="1:13">
      <c r="A17" s="2" t="s">
        <v>115</v>
      </c>
      <c r="B17" s="2" t="s">
        <v>10</v>
      </c>
      <c r="C17" s="9">
        <v>45792</v>
      </c>
      <c r="D17" s="2">
        <v>42</v>
      </c>
      <c r="E17" s="2">
        <v>4</v>
      </c>
      <c r="F17" s="2">
        <v>274</v>
      </c>
      <c r="G17" s="2">
        <v>230</v>
      </c>
      <c r="H17" s="4">
        <f t="shared" si="0"/>
        <v>0.0952380952380952</v>
      </c>
      <c r="I17" s="4">
        <f t="shared" si="1"/>
        <v>0.839416058394161</v>
      </c>
      <c r="J17" s="7">
        <f ca="1">F17-IFERROR(VLOOKUP($A17,'0527'!$A$1:'0527'!G$48,6,FALSE),IFERROR(VLOOKUP($C17,'0527'!$C$1:'0527'!G$48,4,FALSE),F17-D17))</f>
        <v>8</v>
      </c>
      <c r="K17" s="8">
        <f ca="1">G17-IFERROR(VLOOKUP($A17,'0527'!$A$1:'0527'!H$44,7,FALSE),IFERROR(VLOOKUP($C17,'0527'!$C$1:'0527'!H$44,5,FALSE),G17-E17))</f>
        <v>0</v>
      </c>
      <c r="L17" s="4">
        <f ca="1" t="shared" si="2"/>
        <v>0</v>
      </c>
      <c r="M17" s="2" t="s">
        <v>169</v>
      </c>
    </row>
    <row r="18" s="2" customFormat="1" spans="1:14">
      <c r="A18" s="2" t="s">
        <v>116</v>
      </c>
      <c r="B18" s="2" t="s">
        <v>10</v>
      </c>
      <c r="C18" s="9">
        <v>45792</v>
      </c>
      <c r="D18" s="2">
        <v>152</v>
      </c>
      <c r="E18" s="2">
        <v>269</v>
      </c>
      <c r="F18" s="2">
        <v>298</v>
      </c>
      <c r="G18" s="2">
        <v>788</v>
      </c>
      <c r="H18" s="4">
        <f t="shared" si="0"/>
        <v>1.76973684210526</v>
      </c>
      <c r="I18" s="4">
        <f t="shared" si="1"/>
        <v>2.64429530201342</v>
      </c>
      <c r="J18" s="7">
        <f ca="1">F18-IFERROR(VLOOKUP($A18,'0527'!$A$1:'0527'!G$48,6,FALSE),IFERROR(VLOOKUP($C18,'0527'!$C$1:'0527'!G$48,4,FALSE),F18-D18))</f>
        <v>97</v>
      </c>
      <c r="K18" s="8">
        <f ca="1">G18-IFERROR(VLOOKUP($A18,'0527'!$A$1:'0527'!H$44,7,FALSE),IFERROR(VLOOKUP($C18,'0527'!$C$1:'0527'!H$44,5,FALSE),G18-E18))</f>
        <v>14</v>
      </c>
      <c r="L18" s="4">
        <f ca="1" t="shared" si="2"/>
        <v>0.144329896907216</v>
      </c>
      <c r="M18" s="2" t="s">
        <v>133</v>
      </c>
      <c r="N18" s="2" t="s">
        <v>170</v>
      </c>
    </row>
    <row r="19" s="2" customFormat="1" spans="1:12">
      <c r="A19" s="2" t="s">
        <v>107</v>
      </c>
      <c r="B19" s="2" t="s">
        <v>10</v>
      </c>
      <c r="C19" s="9">
        <v>45790</v>
      </c>
      <c r="D19" s="2">
        <v>15</v>
      </c>
      <c r="E19" s="2">
        <v>6</v>
      </c>
      <c r="F19" s="2">
        <v>348</v>
      </c>
      <c r="G19" s="2">
        <v>312</v>
      </c>
      <c r="H19" s="4">
        <f t="shared" si="0"/>
        <v>0.4</v>
      </c>
      <c r="I19" s="4">
        <f t="shared" si="1"/>
        <v>0.896551724137931</v>
      </c>
      <c r="J19" s="7">
        <f ca="1">F19-IFERROR(VLOOKUP($A19,'0527'!$A$1:'0527'!G$48,6,FALSE),IFERROR(VLOOKUP($C19,'0527'!$C$1:'0527'!G$48,4,FALSE),F19-D19))</f>
        <v>1</v>
      </c>
      <c r="K19" s="8">
        <f ca="1">G19-IFERROR(VLOOKUP($A19,'0527'!$A$1:'0527'!H$44,7,FALSE),IFERROR(VLOOKUP($C19,'0527'!$C$1:'0527'!H$44,5,FALSE),G19-E19))</f>
        <v>0</v>
      </c>
      <c r="L19" s="4">
        <f ca="1" t="shared" si="2"/>
        <v>0</v>
      </c>
    </row>
    <row r="20" s="2" customFormat="1" spans="1:13">
      <c r="A20" s="2" t="s">
        <v>105</v>
      </c>
      <c r="B20" s="2" t="s">
        <v>10</v>
      </c>
      <c r="C20" s="9">
        <v>45789</v>
      </c>
      <c r="D20" s="2">
        <v>36</v>
      </c>
      <c r="E20" s="2">
        <v>6</v>
      </c>
      <c r="F20" s="2">
        <v>230</v>
      </c>
      <c r="G20" s="2">
        <v>570</v>
      </c>
      <c r="H20" s="4">
        <f t="shared" si="0"/>
        <v>0.166666666666667</v>
      </c>
      <c r="I20" s="4">
        <f t="shared" si="1"/>
        <v>2.47826086956522</v>
      </c>
      <c r="J20" s="7">
        <f ca="1">F20-IFERROR(VLOOKUP($A20,'0527'!$A$1:'0527'!G$48,6,FALSE),IFERROR(VLOOKUP($C20,'0527'!$C$1:'0527'!G$48,4,FALSE),F20-D20))</f>
        <v>1</v>
      </c>
      <c r="K20" s="8">
        <f ca="1">G20-IFERROR(VLOOKUP($A20,'0527'!$A$1:'0527'!H$44,7,FALSE),IFERROR(VLOOKUP($C20,'0527'!$C$1:'0527'!H$44,5,FALSE),G20-E20))</f>
        <v>0</v>
      </c>
      <c r="L20" s="4">
        <f ca="1" t="shared" si="2"/>
        <v>0</v>
      </c>
      <c r="M20" s="2" t="s">
        <v>131</v>
      </c>
    </row>
    <row r="21" s="2" customFormat="1" spans="1:13">
      <c r="A21" s="2" t="s">
        <v>93</v>
      </c>
      <c r="B21" s="2" t="s">
        <v>10</v>
      </c>
      <c r="C21" s="9">
        <v>45786</v>
      </c>
      <c r="D21" s="2">
        <v>59</v>
      </c>
      <c r="E21" s="2">
        <v>12</v>
      </c>
      <c r="F21" s="2">
        <v>381</v>
      </c>
      <c r="G21" s="2">
        <v>299</v>
      </c>
      <c r="H21" s="4">
        <f t="shared" si="0"/>
        <v>0.203389830508475</v>
      </c>
      <c r="I21" s="4">
        <f t="shared" si="1"/>
        <v>0.784776902887139</v>
      </c>
      <c r="J21" s="7">
        <f ca="1">F21-IFERROR(VLOOKUP($A21,'0527'!$A$1:'0527'!G$48,6,FALSE),IFERROR(VLOOKUP($C21,'0527'!$C$1:'0527'!G$48,4,FALSE),F21-D21))</f>
        <v>59</v>
      </c>
      <c r="K21" s="8">
        <f ca="1">G21-IFERROR(VLOOKUP($A21,'0527'!$A$1:'0527'!H$44,7,FALSE),IFERROR(VLOOKUP($C21,'0527'!$C$1:'0527'!H$44,5,FALSE),G21-E21))</f>
        <v>12</v>
      </c>
      <c r="L21" s="4">
        <f ca="1" t="shared" si="2"/>
        <v>0.203389830508475</v>
      </c>
      <c r="M21" s="2" t="s">
        <v>175</v>
      </c>
    </row>
    <row r="22" s="2" customFormat="1" spans="1:13">
      <c r="A22" s="2" t="s">
        <v>88</v>
      </c>
      <c r="B22" s="2" t="s">
        <v>10</v>
      </c>
      <c r="C22" s="9">
        <v>45785</v>
      </c>
      <c r="D22" s="2">
        <v>15</v>
      </c>
      <c r="E22" s="2">
        <v>4</v>
      </c>
      <c r="F22" s="2">
        <v>329</v>
      </c>
      <c r="G22" s="2">
        <v>199</v>
      </c>
      <c r="H22" s="4">
        <f t="shared" si="0"/>
        <v>0.266666666666667</v>
      </c>
      <c r="I22" s="4">
        <f t="shared" si="1"/>
        <v>0.604863221884498</v>
      </c>
      <c r="J22" s="7">
        <f ca="1">F22-IFERROR(VLOOKUP($A22,'0527'!$A$1:'0527'!G$48,6,FALSE),IFERROR(VLOOKUP($C22,'0527'!$C$1:'0527'!G$48,4,FALSE),F22-D22))</f>
        <v>1</v>
      </c>
      <c r="K22" s="8">
        <f ca="1">G22-IFERROR(VLOOKUP($A22,'0527'!$A$1:'0527'!H$44,7,FALSE),IFERROR(VLOOKUP($C22,'0527'!$C$1:'0527'!H$44,5,FALSE),G22-E22))</f>
        <v>0</v>
      </c>
      <c r="L22" s="4">
        <f ca="1" t="shared" si="2"/>
        <v>0</v>
      </c>
      <c r="M22" s="2" t="s">
        <v>153</v>
      </c>
    </row>
    <row r="23" s="2" customFormat="1" spans="1:12">
      <c r="A23" s="2" t="s">
        <v>134</v>
      </c>
      <c r="B23" s="2" t="s">
        <v>10</v>
      </c>
      <c r="C23" s="9">
        <v>45780</v>
      </c>
      <c r="D23" s="2">
        <v>3763</v>
      </c>
      <c r="E23" s="2">
        <v>63</v>
      </c>
      <c r="F23" s="2">
        <v>5326</v>
      </c>
      <c r="G23" s="2">
        <v>649</v>
      </c>
      <c r="H23" s="4">
        <f t="shared" si="0"/>
        <v>0.0167419612011693</v>
      </c>
      <c r="I23" s="4">
        <f t="shared" si="1"/>
        <v>0.121855050694705</v>
      </c>
      <c r="J23" s="7">
        <f ca="1">F23-IFERROR(VLOOKUP($A23,'0527'!$A$1:'0527'!G$48,6,FALSE),IFERROR(VLOOKUP($C23,'0527'!$C$1:'0527'!G$48,4,FALSE),F23-D23))</f>
        <v>3504</v>
      </c>
      <c r="K23" s="8">
        <f ca="1">G23-IFERROR(VLOOKUP($A23,'0527'!$A$1:'0527'!H$44,7,FALSE),IFERROR(VLOOKUP($C23,'0527'!$C$1:'0527'!H$44,5,FALSE),G23-E23))</f>
        <v>51</v>
      </c>
      <c r="L23" s="4">
        <f ca="1" t="shared" si="2"/>
        <v>0.0145547945205479</v>
      </c>
    </row>
    <row r="24" s="2" customFormat="1" spans="1:13">
      <c r="A24" s="2" t="s">
        <v>44</v>
      </c>
      <c r="B24" s="2" t="s">
        <v>10</v>
      </c>
      <c r="C24" s="9">
        <v>45761</v>
      </c>
      <c r="D24" s="2">
        <v>27</v>
      </c>
      <c r="E24" s="2">
        <v>5</v>
      </c>
      <c r="F24" s="2">
        <v>1142</v>
      </c>
      <c r="G24" s="2">
        <v>956</v>
      </c>
      <c r="H24" s="4">
        <f t="shared" si="0"/>
        <v>0.185185185185185</v>
      </c>
      <c r="I24" s="4">
        <f t="shared" si="1"/>
        <v>0.837127845884413</v>
      </c>
      <c r="J24" s="7">
        <f ca="1">F24-IFERROR(VLOOKUP($A24,'0527'!$A$1:'0527'!G$48,6,FALSE),IFERROR(VLOOKUP($C24,'0527'!$C$1:'0527'!G$48,4,FALSE),F24-D24))</f>
        <v>5</v>
      </c>
      <c r="K24" s="8">
        <f ca="1">G24-IFERROR(VLOOKUP($A24,'0527'!$A$1:'0527'!H$44,7,FALSE),IFERROR(VLOOKUP($C24,'0527'!$C$1:'0527'!H$44,5,FALSE),G24-E24))</f>
        <v>0</v>
      </c>
      <c r="L24" s="4">
        <f ca="1" t="shared" si="2"/>
        <v>0</v>
      </c>
      <c r="M24" s="2" t="s">
        <v>150</v>
      </c>
    </row>
    <row r="25" s="2" customFormat="1" spans="1:13">
      <c r="A25" s="2" t="s">
        <v>52</v>
      </c>
      <c r="B25" s="2" t="s">
        <v>10</v>
      </c>
      <c r="C25" s="9">
        <v>45743</v>
      </c>
      <c r="D25" s="2">
        <v>124</v>
      </c>
      <c r="E25" s="2">
        <v>30</v>
      </c>
      <c r="F25" s="2">
        <v>5343</v>
      </c>
      <c r="G25" s="2">
        <v>2121</v>
      </c>
      <c r="H25" s="4">
        <f t="shared" si="0"/>
        <v>0.241935483870968</v>
      </c>
      <c r="I25" s="4">
        <f t="shared" si="1"/>
        <v>0.396967995508141</v>
      </c>
      <c r="J25" s="7">
        <f ca="1">F25-IFERROR(VLOOKUP($A25,'0527'!$A$1:'0527'!G$48,6,FALSE),IFERROR(VLOOKUP($C25,'0527'!$C$1:'0527'!G$48,4,FALSE),F25-D25))</f>
        <v>29</v>
      </c>
      <c r="K25" s="8">
        <f ca="1">G25-IFERROR(VLOOKUP($A25,'0527'!$A$1:'0527'!H$44,7,FALSE),IFERROR(VLOOKUP($C25,'0527'!$C$1:'0527'!H$44,5,FALSE),G25-E25))</f>
        <v>10</v>
      </c>
      <c r="L25" s="4">
        <f ca="1" t="shared" si="2"/>
        <v>0.344827586206897</v>
      </c>
      <c r="M25" s="2" t="s">
        <v>159</v>
      </c>
    </row>
    <row r="26" s="2" customFormat="1" spans="1:13">
      <c r="A26" s="2" t="s">
        <v>123</v>
      </c>
      <c r="B26" s="2" t="s">
        <v>10</v>
      </c>
      <c r="C26" s="9">
        <v>45685</v>
      </c>
      <c r="D26" s="2">
        <v>69</v>
      </c>
      <c r="E26" s="2">
        <v>9</v>
      </c>
      <c r="F26" s="2">
        <v>238</v>
      </c>
      <c r="G26" s="2">
        <v>533</v>
      </c>
      <c r="H26" s="4">
        <f t="shared" si="0"/>
        <v>0.130434782608696</v>
      </c>
      <c r="I26" s="4">
        <f t="shared" si="1"/>
        <v>2.23949579831933</v>
      </c>
      <c r="J26" s="7">
        <f ca="1">F26-IFERROR(VLOOKUP($A26,'0527'!$A$1:'0527'!G$48,6,FALSE),IFERROR(VLOOKUP($C26,'0527'!$C$1:'0527'!G$48,4,FALSE),F26-D26))</f>
        <v>15</v>
      </c>
      <c r="K26" s="8">
        <f ca="1">G26-IFERROR(VLOOKUP($A26,'0527'!$A$1:'0527'!H$44,7,FALSE),IFERROR(VLOOKUP($C26,'0527'!$C$1:'0527'!H$44,5,FALSE),G26-E26))</f>
        <v>0</v>
      </c>
      <c r="L26" s="4">
        <f ca="1" t="shared" si="2"/>
        <v>0</v>
      </c>
      <c r="M26" s="2" t="s">
        <v>162</v>
      </c>
    </row>
    <row r="27" s="2" customFormat="1" spans="1:13">
      <c r="A27" s="2" t="s">
        <v>154</v>
      </c>
      <c r="B27" s="2" t="s">
        <v>10</v>
      </c>
      <c r="C27" s="9">
        <v>45619</v>
      </c>
      <c r="D27" s="2">
        <v>73</v>
      </c>
      <c r="E27" s="2">
        <v>4</v>
      </c>
      <c r="F27" s="2">
        <v>1862</v>
      </c>
      <c r="G27" s="2">
        <v>845</v>
      </c>
      <c r="H27" s="4">
        <f t="shared" si="0"/>
        <v>0.0547945205479452</v>
      </c>
      <c r="I27" s="4">
        <f t="shared" si="1"/>
        <v>0.453813104189044</v>
      </c>
      <c r="J27" s="7">
        <f ca="1">F27-IFERROR(VLOOKUP($A27,'0527'!$A$1:'0527'!G$48,6,FALSE),IFERROR(VLOOKUP($C27,'0527'!$C$1:'0527'!G$48,4,FALSE),F27-D27))</f>
        <v>10</v>
      </c>
      <c r="K27" s="8">
        <f ca="1">G27-IFERROR(VLOOKUP($A27,'0527'!$A$1:'0527'!H$44,7,FALSE),IFERROR(VLOOKUP($C27,'0527'!$C$1:'0527'!H$44,5,FALSE),G27-E27))</f>
        <v>0</v>
      </c>
      <c r="L27" s="4">
        <f ca="1" t="shared" si="2"/>
        <v>0</v>
      </c>
      <c r="M27" s="2" t="s">
        <v>155</v>
      </c>
    </row>
    <row r="28" s="2" customFormat="1" spans="1:13">
      <c r="A28" s="2" t="s">
        <v>127</v>
      </c>
      <c r="B28" s="2" t="s">
        <v>10</v>
      </c>
      <c r="C28" s="9">
        <v>45547</v>
      </c>
      <c r="D28" s="2">
        <v>47</v>
      </c>
      <c r="E28" s="2">
        <v>1</v>
      </c>
      <c r="F28" s="2">
        <v>9149</v>
      </c>
      <c r="G28" s="2">
        <v>2510</v>
      </c>
      <c r="H28" s="4">
        <f t="shared" si="0"/>
        <v>0.0212765957446809</v>
      </c>
      <c r="I28" s="4">
        <f t="shared" si="1"/>
        <v>0.274346923161001</v>
      </c>
      <c r="J28" s="7">
        <f ca="1">F28-IFERROR(VLOOKUP($A28,'0527'!$A$1:'0527'!G$48,6,FALSE),IFERROR(VLOOKUP($C28,'0527'!$C$1:'0527'!G$48,4,FALSE),F28-D28))</f>
        <v>2</v>
      </c>
      <c r="K28" s="8">
        <f ca="1">G28-IFERROR(VLOOKUP($A28,'0527'!$A$1:'0527'!H$44,7,FALSE),IFERROR(VLOOKUP($C28,'0527'!$C$1:'0527'!H$44,5,FALSE),G28-E28))</f>
        <v>0</v>
      </c>
      <c r="L28" s="4">
        <f ca="1" t="shared" si="2"/>
        <v>0</v>
      </c>
      <c r="M28" s="2" t="s">
        <v>163</v>
      </c>
    </row>
    <row r="29" spans="11:11">
      <c r="K29" s="2">
        <f ca="1">SUM(K2:K28)</f>
        <v>1389</v>
      </c>
    </row>
    <row r="35" spans="8:12">
      <c r="H35" s="10">
        <v>2.08823529411765</v>
      </c>
      <c r="I35" s="10">
        <v>6.54054054054054</v>
      </c>
      <c r="J35" s="11">
        <v>2</v>
      </c>
      <c r="K35" s="11">
        <v>0</v>
      </c>
      <c r="L35" s="10">
        <v>0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"/>
  <sheetViews>
    <sheetView workbookViewId="0">
      <selection activeCell="A21" sqref="$A21:$XFD21"/>
    </sheetView>
  </sheetViews>
  <sheetFormatPr defaultColWidth="10" defaultRowHeight="14.4"/>
  <cols>
    <col min="1" max="1" width="48.2222222222222" style="2" customWidth="1"/>
    <col min="2" max="2" width="10" style="2" hidden="1" customWidth="1"/>
    <col min="3" max="3" width="10.5555555555556" style="2" customWidth="1"/>
    <col min="4" max="7" width="6.11111111111111" style="2" customWidth="1"/>
    <col min="8" max="9" width="6.77777777777778" style="2" customWidth="1"/>
    <col min="10" max="10" width="7.66666666666667" style="2" customWidth="1"/>
    <col min="11" max="12" width="6.77777777777778" style="2" customWidth="1"/>
    <col min="13" max="13" width="20.3333333333333" style="2" customWidth="1"/>
    <col min="14" max="14" width="19.1111111111111" style="2" customWidth="1"/>
    <col min="15" max="16384" width="10" style="2"/>
  </cols>
  <sheetData>
    <row r="1" s="2" customForma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J1" s="5" t="s">
        <v>7</v>
      </c>
      <c r="K1" s="5" t="s">
        <v>8</v>
      </c>
      <c r="M1" s="6" t="s">
        <v>157</v>
      </c>
    </row>
    <row r="2" s="2" customFormat="1" spans="1:13">
      <c r="A2" s="2" t="s">
        <v>176</v>
      </c>
      <c r="B2" s="2" t="s">
        <v>10</v>
      </c>
      <c r="C2" s="9">
        <v>45805</v>
      </c>
      <c r="D2" s="2">
        <v>162</v>
      </c>
      <c r="E2" s="2">
        <v>244</v>
      </c>
      <c r="F2" s="2">
        <v>162</v>
      </c>
      <c r="G2" s="2">
        <v>244</v>
      </c>
      <c r="H2" s="4">
        <f t="shared" ref="H2:H28" si="0">E2/D2</f>
        <v>1.50617283950617</v>
      </c>
      <c r="I2" s="4">
        <f t="shared" ref="I2:I28" si="1">G2/F2</f>
        <v>1.50617283950617</v>
      </c>
      <c r="J2" s="7">
        <f ca="1">F2-IFERROR(VLOOKUP($A2,'0528'!$A$1:'0528'!G$48,6,FALSE),IFERROR(VLOOKUP($C2,'0528'!$C$1:'0528'!G$48,4,FALSE),F2-D2))</f>
        <v>162</v>
      </c>
      <c r="K2" s="8">
        <f ca="1">G2-IFERROR(VLOOKUP($A2,'0528'!$A$1:'0528'!H$44,7,FALSE),IFERROR(VLOOKUP($C2,'0528'!$C$1:'0528'!H$44,5,FALSE),G2-E2))</f>
        <v>244</v>
      </c>
      <c r="L2" s="4">
        <f ca="1" t="shared" ref="L2:L28" si="2">IFERROR(K2/J2,)</f>
        <v>1.50617283950617</v>
      </c>
      <c r="M2" s="6"/>
    </row>
    <row r="3" s="2" customFormat="1" spans="1:13">
      <c r="A3" s="2" t="s">
        <v>171</v>
      </c>
      <c r="B3" s="2" t="s">
        <v>10</v>
      </c>
      <c r="C3" s="9">
        <v>45804</v>
      </c>
      <c r="D3" s="2">
        <v>99</v>
      </c>
      <c r="E3" s="2">
        <v>417</v>
      </c>
      <c r="F3" s="2">
        <v>99</v>
      </c>
      <c r="G3" s="2">
        <v>417</v>
      </c>
      <c r="H3" s="4">
        <f t="shared" si="0"/>
        <v>4.21212121212121</v>
      </c>
      <c r="I3" s="4">
        <f t="shared" si="1"/>
        <v>4.21212121212121</v>
      </c>
      <c r="J3" s="7">
        <f ca="1">F3-IFERROR(VLOOKUP($A3,'0528'!$A$1:'0528'!G$48,6,FALSE),IFERROR(VLOOKUP($C3,'0528'!$C$1:'0528'!G$48,4,FALSE),F3-D3))</f>
        <v>24</v>
      </c>
      <c r="K3" s="8">
        <f ca="1">G3-IFERROR(VLOOKUP($A3,'0528'!$A$1:'0528'!H$44,7,FALSE),IFERROR(VLOOKUP($C3,'0528'!$C$1:'0528'!H$44,5,FALSE),G3-E3))</f>
        <v>6</v>
      </c>
      <c r="L3" s="4">
        <f ca="1" t="shared" si="2"/>
        <v>0.25</v>
      </c>
      <c r="M3" s="6"/>
    </row>
    <row r="4" s="2" customFormat="1" spans="1:13">
      <c r="A4" s="2" t="s">
        <v>172</v>
      </c>
      <c r="B4" s="2" t="s">
        <v>10</v>
      </c>
      <c r="C4" s="9">
        <v>45804</v>
      </c>
      <c r="D4" s="2">
        <v>70</v>
      </c>
      <c r="E4" s="2">
        <v>204</v>
      </c>
      <c r="F4" s="2">
        <v>70</v>
      </c>
      <c r="G4" s="2">
        <v>204</v>
      </c>
      <c r="H4" s="4">
        <f t="shared" si="0"/>
        <v>2.91428571428571</v>
      </c>
      <c r="I4" s="4">
        <f t="shared" si="1"/>
        <v>2.91428571428571</v>
      </c>
      <c r="J4" s="7">
        <f ca="1">F4-IFERROR(VLOOKUP($A4,'0528'!$A$1:'0528'!G$48,6,FALSE),IFERROR(VLOOKUP($C4,'0528'!$C$1:'0528'!G$48,4,FALSE),F4-D4))</f>
        <v>22</v>
      </c>
      <c r="K4" s="8">
        <f ca="1">G4-IFERROR(VLOOKUP($A4,'0528'!$A$1:'0528'!H$44,7,FALSE),IFERROR(VLOOKUP($C4,'0528'!$C$1:'0528'!H$44,5,FALSE),G4-E4))</f>
        <v>21</v>
      </c>
      <c r="L4" s="4">
        <f ca="1" t="shared" si="2"/>
        <v>0.954545454545455</v>
      </c>
      <c r="M4" s="6" t="s">
        <v>177</v>
      </c>
    </row>
    <row r="5" s="2" customFormat="1" spans="1:13">
      <c r="A5" s="2" t="s">
        <v>164</v>
      </c>
      <c r="B5" s="2" t="s">
        <v>10</v>
      </c>
      <c r="C5" s="9">
        <v>45803</v>
      </c>
      <c r="D5" s="2">
        <v>146</v>
      </c>
      <c r="E5" s="2">
        <v>392</v>
      </c>
      <c r="F5" s="2">
        <v>146</v>
      </c>
      <c r="G5" s="2">
        <v>392</v>
      </c>
      <c r="H5" s="4">
        <f t="shared" si="0"/>
        <v>2.68493150684931</v>
      </c>
      <c r="I5" s="4">
        <f t="shared" si="1"/>
        <v>2.68493150684931</v>
      </c>
      <c r="J5" s="7">
        <f ca="1">F5-IFERROR(VLOOKUP($A5,'0528'!$A$1:'0528'!G$48,6,FALSE),IFERROR(VLOOKUP($C5,'0528'!$C$1:'0528'!G$48,4,FALSE),F5-D5))</f>
        <v>18</v>
      </c>
      <c r="K5" s="8">
        <f ca="1">G5-IFERROR(VLOOKUP($A5,'0528'!$A$1:'0528'!H$44,7,FALSE),IFERROR(VLOOKUP($C5,'0528'!$C$1:'0528'!H$44,5,FALSE),G5-E5))</f>
        <v>0</v>
      </c>
      <c r="L5" s="4">
        <f ca="1" t="shared" si="2"/>
        <v>0</v>
      </c>
      <c r="M5" s="6"/>
    </row>
    <row r="6" s="2" customFormat="1" spans="1:13">
      <c r="A6" s="2" t="s">
        <v>165</v>
      </c>
      <c r="B6" s="2" t="s">
        <v>10</v>
      </c>
      <c r="C6" s="9">
        <v>45803</v>
      </c>
      <c r="D6" s="2">
        <v>455</v>
      </c>
      <c r="E6" s="2">
        <v>448</v>
      </c>
      <c r="F6" s="2">
        <v>455</v>
      </c>
      <c r="G6" s="2">
        <v>448</v>
      </c>
      <c r="H6" s="4">
        <f t="shared" si="0"/>
        <v>0.984615384615385</v>
      </c>
      <c r="I6" s="4">
        <f t="shared" si="1"/>
        <v>0.984615384615385</v>
      </c>
      <c r="J6" s="7">
        <f ca="1">F6-IFERROR(VLOOKUP($A6,'0528'!$A$1:'0528'!G$48,6,FALSE),IFERROR(VLOOKUP($C6,'0528'!$C$1:'0528'!G$48,4,FALSE),F6-D6))</f>
        <v>7</v>
      </c>
      <c r="K6" s="8">
        <f ca="1">G6-IFERROR(VLOOKUP($A6,'0528'!$A$1:'0528'!H$44,7,FALSE),IFERROR(VLOOKUP($C6,'0528'!$C$1:'0528'!H$44,5,FALSE),G6-E6))</f>
        <v>12</v>
      </c>
      <c r="L6" s="4">
        <f ca="1" t="shared" si="2"/>
        <v>1.71428571428571</v>
      </c>
      <c r="M6" s="6" t="s">
        <v>166</v>
      </c>
    </row>
    <row r="7" s="2" customFormat="1" spans="1:13">
      <c r="A7" s="2" t="s">
        <v>160</v>
      </c>
      <c r="B7" s="2" t="s">
        <v>10</v>
      </c>
      <c r="C7" s="9">
        <v>45802</v>
      </c>
      <c r="D7" s="2">
        <v>108</v>
      </c>
      <c r="E7" s="2">
        <v>229</v>
      </c>
      <c r="F7" s="2">
        <v>108</v>
      </c>
      <c r="G7" s="2">
        <v>229</v>
      </c>
      <c r="H7" s="4">
        <f t="shared" si="0"/>
        <v>2.12037037037037</v>
      </c>
      <c r="I7" s="4">
        <f t="shared" si="1"/>
        <v>2.12037037037037</v>
      </c>
      <c r="J7" s="7">
        <f ca="1">F7-IFERROR(VLOOKUP($A7,'0528'!$A$1:'0528'!G$48,6,FALSE),IFERROR(VLOOKUP($C7,'0528'!$C$1:'0528'!G$48,4,FALSE),F7-D7))</f>
        <v>11</v>
      </c>
      <c r="K7" s="8">
        <f ca="1">G7-IFERROR(VLOOKUP($A7,'0528'!$A$1:'0528'!H$44,7,FALSE),IFERROR(VLOOKUP($C7,'0528'!$C$1:'0528'!H$44,5,FALSE),G7-E7))</f>
        <v>103</v>
      </c>
      <c r="L7" s="4">
        <f ca="1" t="shared" si="2"/>
        <v>9.36363636363636</v>
      </c>
      <c r="M7" s="6" t="s">
        <v>173</v>
      </c>
    </row>
    <row r="8" s="2" customFormat="1" spans="1:12">
      <c r="A8" s="2" t="s">
        <v>158</v>
      </c>
      <c r="B8" s="2" t="s">
        <v>10</v>
      </c>
      <c r="C8" s="9">
        <v>45801</v>
      </c>
      <c r="D8" s="2">
        <v>316</v>
      </c>
      <c r="E8" s="2">
        <v>440</v>
      </c>
      <c r="F8" s="2">
        <v>316</v>
      </c>
      <c r="G8" s="2">
        <v>440</v>
      </c>
      <c r="H8" s="4">
        <f t="shared" si="0"/>
        <v>1.39240506329114</v>
      </c>
      <c r="I8" s="4">
        <f t="shared" si="1"/>
        <v>1.39240506329114</v>
      </c>
      <c r="J8" s="7">
        <f ca="1">F8-IFERROR(VLOOKUP($A8,'0528'!$A$1:'0528'!G$48,6,FALSE),IFERROR(VLOOKUP($C8,'0528'!$C$1:'0528'!G$48,4,FALSE),F8-D8))</f>
        <v>35</v>
      </c>
      <c r="K8" s="8">
        <f ca="1">G8-IFERROR(VLOOKUP($A8,'0528'!$A$1:'0528'!H$44,7,FALSE),IFERROR(VLOOKUP($C8,'0528'!$C$1:'0528'!H$44,5,FALSE),G8-E8))</f>
        <v>0</v>
      </c>
      <c r="L8" s="4">
        <f ca="1" t="shared" si="2"/>
        <v>0</v>
      </c>
    </row>
    <row r="9" s="2" customFormat="1" spans="1:12">
      <c r="A9" s="2" t="s">
        <v>156</v>
      </c>
      <c r="B9" s="2" t="s">
        <v>10</v>
      </c>
      <c r="C9" s="9">
        <v>45800</v>
      </c>
      <c r="D9" s="2">
        <v>2667</v>
      </c>
      <c r="E9" s="2">
        <v>305</v>
      </c>
      <c r="F9" s="2">
        <v>2667</v>
      </c>
      <c r="G9" s="2">
        <v>305</v>
      </c>
      <c r="H9" s="4">
        <f t="shared" si="0"/>
        <v>0.114360704911886</v>
      </c>
      <c r="I9" s="4">
        <f t="shared" si="1"/>
        <v>0.114360704911886</v>
      </c>
      <c r="J9" s="7">
        <f ca="1">F9-IFERROR(VLOOKUP($A9,'0528'!$A$1:'0528'!G$48,6,FALSE),IFERROR(VLOOKUP($C9,'0528'!$C$1:'0528'!G$48,4,FALSE),F9-D9))</f>
        <v>1686</v>
      </c>
      <c r="K9" s="8">
        <f ca="1">G9-IFERROR(VLOOKUP($A9,'0528'!$A$1:'0528'!H$44,7,FALSE),IFERROR(VLOOKUP($C9,'0528'!$C$1:'0528'!H$44,5,FALSE),G9-E9))</f>
        <v>12</v>
      </c>
      <c r="L9" s="4">
        <f ca="1" t="shared" si="2"/>
        <v>0.00711743772241993</v>
      </c>
    </row>
    <row r="10" s="2" customFormat="1" spans="1:12">
      <c r="A10" s="2" t="s">
        <v>151</v>
      </c>
      <c r="B10" s="2" t="s">
        <v>10</v>
      </c>
      <c r="C10" s="9">
        <v>45799</v>
      </c>
      <c r="D10" s="2">
        <v>154</v>
      </c>
      <c r="E10" s="2">
        <v>254</v>
      </c>
      <c r="F10" s="2">
        <v>154</v>
      </c>
      <c r="G10" s="2">
        <v>254</v>
      </c>
      <c r="H10" s="4">
        <f t="shared" si="0"/>
        <v>1.64935064935065</v>
      </c>
      <c r="I10" s="4">
        <f t="shared" si="1"/>
        <v>1.64935064935065</v>
      </c>
      <c r="J10" s="7">
        <f ca="1">F10-IFERROR(VLOOKUP($A10,'0528'!$A$1:'0528'!G$48,6,FALSE),IFERROR(VLOOKUP($C10,'0528'!$C$1:'0528'!G$48,4,FALSE),F10-D10))</f>
        <v>3</v>
      </c>
      <c r="K10" s="8">
        <f ca="1">G10-IFERROR(VLOOKUP($A10,'0528'!$A$1:'0528'!H$44,7,FALSE),IFERROR(VLOOKUP($C10,'0528'!$C$1:'0528'!H$44,5,FALSE),G10-E10))</f>
        <v>0</v>
      </c>
      <c r="L10" s="4">
        <f ca="1" t="shared" si="2"/>
        <v>0</v>
      </c>
    </row>
    <row r="11" s="2" customFormat="1" spans="1:14">
      <c r="A11" s="2" t="s">
        <v>148</v>
      </c>
      <c r="B11" s="2" t="s">
        <v>10</v>
      </c>
      <c r="C11" s="9">
        <v>45798</v>
      </c>
      <c r="D11" s="2">
        <v>135</v>
      </c>
      <c r="E11" s="2">
        <v>419</v>
      </c>
      <c r="F11" s="2">
        <v>220</v>
      </c>
      <c r="G11" s="2">
        <v>487</v>
      </c>
      <c r="H11" s="4">
        <f t="shared" si="0"/>
        <v>3.1037037037037</v>
      </c>
      <c r="I11" s="4">
        <f t="shared" si="1"/>
        <v>2.21363636363636</v>
      </c>
      <c r="J11" s="7">
        <f ca="1">F11-IFERROR(VLOOKUP($A11,'0528'!$A$1:'0528'!G$48,6,FALSE),IFERROR(VLOOKUP($C11,'0528'!$C$1:'0528'!G$48,4,FALSE),F11-D11))</f>
        <v>5</v>
      </c>
      <c r="K11" s="8">
        <f ca="1">G11-IFERROR(VLOOKUP($A11,'0528'!$A$1:'0528'!H$44,7,FALSE),IFERROR(VLOOKUP($C11,'0528'!$C$1:'0528'!H$44,5,FALSE),G11-E11))</f>
        <v>45</v>
      </c>
      <c r="L11" s="4">
        <f ca="1" t="shared" si="2"/>
        <v>9</v>
      </c>
      <c r="M11" s="2" t="s">
        <v>167</v>
      </c>
      <c r="N11" s="2" t="s">
        <v>174</v>
      </c>
    </row>
    <row r="12" s="2" customFormat="1" spans="1:12">
      <c r="A12" s="2" t="s">
        <v>149</v>
      </c>
      <c r="B12" s="2" t="s">
        <v>10</v>
      </c>
      <c r="C12" s="9">
        <v>45798</v>
      </c>
      <c r="D12" s="2">
        <v>108</v>
      </c>
      <c r="E12" s="2">
        <v>55</v>
      </c>
      <c r="F12" s="2">
        <v>245</v>
      </c>
      <c r="G12" s="2">
        <v>242</v>
      </c>
      <c r="H12" s="4">
        <f t="shared" si="0"/>
        <v>0.509259259259259</v>
      </c>
      <c r="I12" s="4">
        <f t="shared" si="1"/>
        <v>0.987755102040816</v>
      </c>
      <c r="J12" s="7">
        <f ca="1">F12-IFERROR(VLOOKUP($A12,'0528'!$A$1:'0528'!G$48,6,FALSE),IFERROR(VLOOKUP($C12,'0528'!$C$1:'0528'!G$48,4,FALSE),F12-D12))</f>
        <v>7</v>
      </c>
      <c r="K12" s="8">
        <f ca="1">G12-IFERROR(VLOOKUP($A12,'0528'!$A$1:'0528'!H$44,7,FALSE),IFERROR(VLOOKUP($C12,'0528'!$C$1:'0528'!H$44,5,FALSE),G12-E12))</f>
        <v>0</v>
      </c>
      <c r="L12" s="4">
        <f ca="1" t="shared" si="2"/>
        <v>0</v>
      </c>
    </row>
    <row r="13" s="2" customFormat="1" spans="1:14">
      <c r="A13" s="2" t="s">
        <v>146</v>
      </c>
      <c r="B13" s="2" t="s">
        <v>10</v>
      </c>
      <c r="C13" s="9">
        <v>45797</v>
      </c>
      <c r="D13" s="2">
        <v>124</v>
      </c>
      <c r="E13" s="2">
        <v>488</v>
      </c>
      <c r="F13" s="2">
        <v>239</v>
      </c>
      <c r="G13" s="2">
        <v>776</v>
      </c>
      <c r="H13" s="4">
        <f t="shared" si="0"/>
        <v>3.93548387096774</v>
      </c>
      <c r="I13" s="4">
        <f t="shared" si="1"/>
        <v>3.24686192468619</v>
      </c>
      <c r="J13" s="7">
        <f ca="1">F13-IFERROR(VLOOKUP($A13,'0528'!$A$1:'0528'!G$48,6,FALSE),IFERROR(VLOOKUP($C13,'0528'!$C$1:'0528'!G$48,4,FALSE),F13-D13))</f>
        <v>14</v>
      </c>
      <c r="K13" s="8">
        <f ca="1">G13-IFERROR(VLOOKUP($A13,'0528'!$A$1:'0528'!H$44,7,FALSE),IFERROR(VLOOKUP($C13,'0528'!$C$1:'0528'!H$44,5,FALSE),G13-E13))</f>
        <v>71</v>
      </c>
      <c r="L13" s="4">
        <f ca="1" t="shared" si="2"/>
        <v>5.07142857142857</v>
      </c>
      <c r="M13" s="2" t="s">
        <v>152</v>
      </c>
      <c r="N13" s="2" t="s">
        <v>178</v>
      </c>
    </row>
    <row r="14" s="2" customFormat="1" spans="1:14">
      <c r="A14" s="2" t="s">
        <v>142</v>
      </c>
      <c r="B14" s="2" t="s">
        <v>10</v>
      </c>
      <c r="C14" s="9">
        <v>45796</v>
      </c>
      <c r="D14" s="2">
        <v>39</v>
      </c>
      <c r="E14" s="2">
        <v>33</v>
      </c>
      <c r="F14" s="2">
        <v>162</v>
      </c>
      <c r="G14" s="2">
        <v>305</v>
      </c>
      <c r="H14" s="4">
        <f t="shared" si="0"/>
        <v>0.846153846153846</v>
      </c>
      <c r="I14" s="4">
        <f t="shared" si="1"/>
        <v>1.88271604938272</v>
      </c>
      <c r="J14" s="7">
        <f ca="1">F14-IFERROR(VLOOKUP($A14,'0528'!$A$1:'0528'!G$48,6,FALSE),IFERROR(VLOOKUP($C14,'0528'!$C$1:'0528'!G$48,4,FALSE),F14-D14))</f>
        <v>1</v>
      </c>
      <c r="K14" s="8">
        <f ca="1">G14-IFERROR(VLOOKUP($A14,'0528'!$A$1:'0528'!H$44,7,FALSE),IFERROR(VLOOKUP($C14,'0528'!$C$1:'0528'!H$44,5,FALSE),G14-E14))</f>
        <v>0</v>
      </c>
      <c r="L14" s="4">
        <f ca="1" t="shared" si="2"/>
        <v>0</v>
      </c>
      <c r="M14" s="2" t="s">
        <v>161</v>
      </c>
      <c r="N14" s="2" t="s">
        <v>168</v>
      </c>
    </row>
    <row r="15" s="2" customFormat="1" spans="1:12">
      <c r="A15" s="2" t="s">
        <v>132</v>
      </c>
      <c r="B15" s="2" t="s">
        <v>10</v>
      </c>
      <c r="C15" s="9">
        <v>45795</v>
      </c>
      <c r="D15" s="2">
        <v>31</v>
      </c>
      <c r="E15" s="2">
        <v>12</v>
      </c>
      <c r="F15" s="2">
        <v>210</v>
      </c>
      <c r="G15" s="2">
        <v>211</v>
      </c>
      <c r="H15" s="4">
        <f t="shared" si="0"/>
        <v>0.387096774193548</v>
      </c>
      <c r="I15" s="4">
        <f t="shared" si="1"/>
        <v>1.0047619047619</v>
      </c>
      <c r="J15" s="7">
        <f ca="1">F15-IFERROR(VLOOKUP($A15,'0528'!$A$1:'0528'!G$48,6,FALSE),IFERROR(VLOOKUP($C15,'0528'!$C$1:'0528'!G$48,4,FALSE),F15-D15))</f>
        <v>5</v>
      </c>
      <c r="K15" s="8">
        <f ca="1">G15-IFERROR(VLOOKUP($A15,'0528'!$A$1:'0528'!H$44,7,FALSE),IFERROR(VLOOKUP($C15,'0528'!$C$1:'0528'!H$44,5,FALSE),G15-E15))</f>
        <v>0</v>
      </c>
      <c r="L15" s="4">
        <f ca="1" t="shared" si="2"/>
        <v>0</v>
      </c>
    </row>
    <row r="16" s="2" customFormat="1" spans="1:12">
      <c r="A16" s="2" t="s">
        <v>130</v>
      </c>
      <c r="B16" s="2" t="s">
        <v>10</v>
      </c>
      <c r="C16" s="9">
        <v>45794</v>
      </c>
      <c r="D16" s="2">
        <v>28017</v>
      </c>
      <c r="E16" s="2">
        <v>7686</v>
      </c>
      <c r="F16" s="2">
        <v>40082</v>
      </c>
      <c r="G16" s="2">
        <v>12396</v>
      </c>
      <c r="H16" s="4">
        <f t="shared" si="0"/>
        <v>0.274333440411179</v>
      </c>
      <c r="I16" s="4">
        <f t="shared" si="1"/>
        <v>0.309266004690385</v>
      </c>
      <c r="J16" s="7">
        <f ca="1">F16-IFERROR(VLOOKUP($A16,'0528'!$A$1:'0528'!G$48,6,FALSE),IFERROR(VLOOKUP($C16,'0528'!$C$1:'0528'!G$48,4,FALSE),F16-D16))</f>
        <v>229</v>
      </c>
      <c r="K16" s="8">
        <f ca="1">G16-IFERROR(VLOOKUP($A16,'0528'!$A$1:'0528'!H$44,7,FALSE),IFERROR(VLOOKUP($C16,'0528'!$C$1:'0528'!H$44,5,FALSE),G16-E16))</f>
        <v>97</v>
      </c>
      <c r="L16" s="4">
        <f ca="1" t="shared" si="2"/>
        <v>0.423580786026201</v>
      </c>
    </row>
    <row r="17" s="2" customFormat="1" spans="1:12">
      <c r="A17" s="2" t="s">
        <v>120</v>
      </c>
      <c r="B17" s="2" t="s">
        <v>10</v>
      </c>
      <c r="C17" s="9">
        <v>45793</v>
      </c>
      <c r="D17" s="2">
        <v>75</v>
      </c>
      <c r="E17" s="2">
        <v>55</v>
      </c>
      <c r="F17" s="2">
        <v>301</v>
      </c>
      <c r="G17" s="2">
        <v>503</v>
      </c>
      <c r="H17" s="4">
        <f t="shared" si="0"/>
        <v>0.733333333333333</v>
      </c>
      <c r="I17" s="4">
        <f t="shared" si="1"/>
        <v>1.67109634551495</v>
      </c>
      <c r="J17" s="7">
        <f ca="1">F17-IFERROR(VLOOKUP($A17,'0528'!$A$1:'0528'!G$48,6,FALSE),IFERROR(VLOOKUP($C17,'0528'!$C$1:'0528'!G$48,4,FALSE),F17-D17))</f>
        <v>6</v>
      </c>
      <c r="K17" s="8">
        <f ca="1">G17-IFERROR(VLOOKUP($A17,'0528'!$A$1:'0528'!H$44,7,FALSE),IFERROR(VLOOKUP($C17,'0528'!$C$1:'0528'!H$44,5,FALSE),G17-E17))</f>
        <v>0</v>
      </c>
      <c r="L17" s="4">
        <f ca="1" t="shared" si="2"/>
        <v>0</v>
      </c>
    </row>
    <row r="18" s="2" customFormat="1" spans="1:13">
      <c r="A18" s="2" t="s">
        <v>115</v>
      </c>
      <c r="B18" s="2" t="s">
        <v>10</v>
      </c>
      <c r="C18" s="9">
        <v>45792</v>
      </c>
      <c r="D18" s="2">
        <v>40</v>
      </c>
      <c r="E18" s="2">
        <v>4</v>
      </c>
      <c r="F18" s="2">
        <v>276</v>
      </c>
      <c r="G18" s="2">
        <v>230</v>
      </c>
      <c r="H18" s="4">
        <f t="shared" si="0"/>
        <v>0.1</v>
      </c>
      <c r="I18" s="4">
        <f t="shared" si="1"/>
        <v>0.833333333333333</v>
      </c>
      <c r="J18" s="7">
        <f ca="1">F18-IFERROR(VLOOKUP($A18,'0528'!$A$1:'0528'!G$48,6,FALSE),IFERROR(VLOOKUP($C18,'0528'!$C$1:'0528'!G$48,4,FALSE),F18-D18))</f>
        <v>2</v>
      </c>
      <c r="K18" s="8">
        <f ca="1">G18-IFERROR(VLOOKUP($A18,'0528'!$A$1:'0528'!H$44,7,FALSE),IFERROR(VLOOKUP($C18,'0528'!$C$1:'0528'!H$44,5,FALSE),G18-E18))</f>
        <v>0</v>
      </c>
      <c r="L18" s="4">
        <f ca="1" t="shared" si="2"/>
        <v>0</v>
      </c>
      <c r="M18" s="2" t="s">
        <v>169</v>
      </c>
    </row>
    <row r="19" s="2" customFormat="1" spans="1:14">
      <c r="A19" s="2" t="s">
        <v>116</v>
      </c>
      <c r="B19" s="2" t="s">
        <v>10</v>
      </c>
      <c r="C19" s="9">
        <v>45792</v>
      </c>
      <c r="D19" s="2">
        <v>149</v>
      </c>
      <c r="E19" s="2">
        <v>162</v>
      </c>
      <c r="F19" s="2">
        <v>309</v>
      </c>
      <c r="G19" s="2">
        <v>788</v>
      </c>
      <c r="H19" s="4">
        <f t="shared" si="0"/>
        <v>1.08724832214765</v>
      </c>
      <c r="I19" s="4">
        <f t="shared" si="1"/>
        <v>2.55016181229773</v>
      </c>
      <c r="J19" s="7">
        <f ca="1">F19-IFERROR(VLOOKUP($A19,'0528'!$A$1:'0528'!G$48,6,FALSE),IFERROR(VLOOKUP($C19,'0528'!$C$1:'0528'!G$48,4,FALSE),F19-D19))</f>
        <v>11</v>
      </c>
      <c r="K19" s="8">
        <f ca="1">G19-IFERROR(VLOOKUP($A19,'0528'!$A$1:'0528'!H$44,7,FALSE),IFERROR(VLOOKUP($C19,'0528'!$C$1:'0528'!H$44,5,FALSE),G19-E19))</f>
        <v>0</v>
      </c>
      <c r="L19" s="4">
        <f ca="1" t="shared" si="2"/>
        <v>0</v>
      </c>
      <c r="M19" s="2" t="s">
        <v>133</v>
      </c>
      <c r="N19" s="2" t="s">
        <v>170</v>
      </c>
    </row>
    <row r="20" s="2" customFormat="1" spans="1:12">
      <c r="A20" s="2" t="s">
        <v>107</v>
      </c>
      <c r="B20" s="2" t="s">
        <v>10</v>
      </c>
      <c r="C20" s="9">
        <v>45790</v>
      </c>
      <c r="D20" s="2">
        <v>15</v>
      </c>
      <c r="E20" s="2">
        <v>6</v>
      </c>
      <c r="F20" s="2">
        <v>349</v>
      </c>
      <c r="G20" s="2">
        <v>312</v>
      </c>
      <c r="H20" s="4">
        <f t="shared" si="0"/>
        <v>0.4</v>
      </c>
      <c r="I20" s="4">
        <f t="shared" si="1"/>
        <v>0.893982808022923</v>
      </c>
      <c r="J20" s="7">
        <f ca="1">F20-IFERROR(VLOOKUP($A20,'0528'!$A$1:'0528'!G$48,6,FALSE),IFERROR(VLOOKUP($C20,'0528'!$C$1:'0528'!G$48,4,FALSE),F20-D20))</f>
        <v>1</v>
      </c>
      <c r="K20" s="8">
        <f ca="1">G20-IFERROR(VLOOKUP($A20,'0528'!$A$1:'0528'!H$44,7,FALSE),IFERROR(VLOOKUP($C20,'0528'!$C$1:'0528'!H$44,5,FALSE),G20-E20))</f>
        <v>0</v>
      </c>
      <c r="L20" s="4">
        <f ca="1" t="shared" si="2"/>
        <v>0</v>
      </c>
    </row>
    <row r="21" s="2" customFormat="1" spans="1:13">
      <c r="A21" s="2" t="s">
        <v>105</v>
      </c>
      <c r="B21" s="2" t="s">
        <v>10</v>
      </c>
      <c r="C21" s="9">
        <v>45789</v>
      </c>
      <c r="D21" s="2">
        <v>33</v>
      </c>
      <c r="E21" s="2">
        <v>6</v>
      </c>
      <c r="F21" s="2">
        <v>230</v>
      </c>
      <c r="G21" s="2">
        <v>570</v>
      </c>
      <c r="H21" s="4">
        <f t="shared" si="0"/>
        <v>0.181818181818182</v>
      </c>
      <c r="I21" s="4">
        <f t="shared" si="1"/>
        <v>2.47826086956522</v>
      </c>
      <c r="J21" s="7">
        <f ca="1">F21-IFERROR(VLOOKUP($A21,'0528'!$A$1:'0528'!G$48,6,FALSE),IFERROR(VLOOKUP($C21,'0528'!$C$1:'0528'!G$48,4,FALSE),F21-D21))</f>
        <v>0</v>
      </c>
      <c r="K21" s="8">
        <f ca="1">G21-IFERROR(VLOOKUP($A21,'0528'!$A$1:'0528'!H$44,7,FALSE),IFERROR(VLOOKUP($C21,'0528'!$C$1:'0528'!H$44,5,FALSE),G21-E21))</f>
        <v>0</v>
      </c>
      <c r="L21" s="4">
        <f ca="1" t="shared" si="2"/>
        <v>0</v>
      </c>
      <c r="M21" s="2" t="s">
        <v>131</v>
      </c>
    </row>
    <row r="22" s="2" customFormat="1" spans="1:13">
      <c r="A22" s="2" t="s">
        <v>93</v>
      </c>
      <c r="B22" s="2" t="s">
        <v>10</v>
      </c>
      <c r="C22" s="9">
        <v>45786</v>
      </c>
      <c r="D22" s="2">
        <v>74</v>
      </c>
      <c r="E22" s="2">
        <v>12</v>
      </c>
      <c r="F22" s="2">
        <v>402</v>
      </c>
      <c r="G22" s="2">
        <v>299</v>
      </c>
      <c r="H22" s="4">
        <f t="shared" si="0"/>
        <v>0.162162162162162</v>
      </c>
      <c r="I22" s="4">
        <f t="shared" si="1"/>
        <v>0.743781094527363</v>
      </c>
      <c r="J22" s="7">
        <f ca="1">F22-IFERROR(VLOOKUP($A22,'0528'!$A$1:'0528'!G$48,6,FALSE),IFERROR(VLOOKUP($C22,'0528'!$C$1:'0528'!G$48,4,FALSE),F22-D22))</f>
        <v>21</v>
      </c>
      <c r="K22" s="8">
        <f ca="1">G22-IFERROR(VLOOKUP($A22,'0528'!$A$1:'0528'!H$44,7,FALSE),IFERROR(VLOOKUP($C22,'0528'!$C$1:'0528'!H$44,5,FALSE),G22-E22))</f>
        <v>0</v>
      </c>
      <c r="L22" s="4">
        <f ca="1" t="shared" si="2"/>
        <v>0</v>
      </c>
      <c r="M22" s="2" t="s">
        <v>175</v>
      </c>
    </row>
    <row r="23" s="2" customFormat="1" spans="1:13">
      <c r="A23" s="2" t="s">
        <v>88</v>
      </c>
      <c r="B23" s="2" t="s">
        <v>10</v>
      </c>
      <c r="C23" s="9">
        <v>45785</v>
      </c>
      <c r="D23" s="2">
        <v>14</v>
      </c>
      <c r="E23" s="2">
        <v>4</v>
      </c>
      <c r="F23" s="2">
        <v>330</v>
      </c>
      <c r="G23" s="2">
        <v>199</v>
      </c>
      <c r="H23" s="4">
        <f t="shared" si="0"/>
        <v>0.285714285714286</v>
      </c>
      <c r="I23" s="4">
        <f t="shared" si="1"/>
        <v>0.603030303030303</v>
      </c>
      <c r="J23" s="7">
        <f ca="1">F23-IFERROR(VLOOKUP($A23,'0528'!$A$1:'0528'!G$48,6,FALSE),IFERROR(VLOOKUP($C23,'0528'!$C$1:'0528'!G$48,4,FALSE),F23-D23))</f>
        <v>1</v>
      </c>
      <c r="K23" s="8">
        <f ca="1">G23-IFERROR(VLOOKUP($A23,'0528'!$A$1:'0528'!H$44,7,FALSE),IFERROR(VLOOKUP($C23,'0528'!$C$1:'0528'!H$44,5,FALSE),G23-E23))</f>
        <v>0</v>
      </c>
      <c r="L23" s="4">
        <f ca="1" t="shared" si="2"/>
        <v>0</v>
      </c>
      <c r="M23" s="2" t="s">
        <v>153</v>
      </c>
    </row>
    <row r="24" s="2" customFormat="1" spans="1:12">
      <c r="A24" s="2" t="s">
        <v>134</v>
      </c>
      <c r="B24" s="2" t="s">
        <v>10</v>
      </c>
      <c r="C24" s="9">
        <v>45780</v>
      </c>
      <c r="D24" s="2">
        <v>3852</v>
      </c>
      <c r="E24" s="2">
        <v>95</v>
      </c>
      <c r="F24" s="2">
        <v>5528</v>
      </c>
      <c r="G24" s="2">
        <v>681</v>
      </c>
      <c r="H24" s="4">
        <f t="shared" si="0"/>
        <v>0.02466251298027</v>
      </c>
      <c r="I24" s="4">
        <f t="shared" si="1"/>
        <v>0.123191027496382</v>
      </c>
      <c r="J24" s="7">
        <f ca="1">F24-IFERROR(VLOOKUP($A24,'0528'!$A$1:'0528'!G$48,6,FALSE),IFERROR(VLOOKUP($C24,'0528'!$C$1:'0528'!G$48,4,FALSE),F24-D24))</f>
        <v>202</v>
      </c>
      <c r="K24" s="8">
        <f ca="1">G24-IFERROR(VLOOKUP($A24,'0528'!$A$1:'0528'!H$44,7,FALSE),IFERROR(VLOOKUP($C24,'0528'!$C$1:'0528'!H$44,5,FALSE),G24-E24))</f>
        <v>32</v>
      </c>
      <c r="L24" s="4">
        <f ca="1" t="shared" si="2"/>
        <v>0.158415841584158</v>
      </c>
    </row>
    <row r="25" s="2" customFormat="1" spans="1:13">
      <c r="A25" s="2" t="s">
        <v>52</v>
      </c>
      <c r="B25" s="2" t="s">
        <v>10</v>
      </c>
      <c r="C25" s="9">
        <v>45743</v>
      </c>
      <c r="D25" s="2">
        <v>132</v>
      </c>
      <c r="E25" s="2">
        <v>30</v>
      </c>
      <c r="F25" s="2">
        <v>5360</v>
      </c>
      <c r="G25" s="2">
        <v>2121</v>
      </c>
      <c r="H25" s="4">
        <f t="shared" si="0"/>
        <v>0.227272727272727</v>
      </c>
      <c r="I25" s="4">
        <f t="shared" si="1"/>
        <v>0.395708955223881</v>
      </c>
      <c r="J25" s="7">
        <f ca="1">F25-IFERROR(VLOOKUP($A25,'0528'!$A$1:'0528'!G$48,6,FALSE),IFERROR(VLOOKUP($C25,'0528'!$C$1:'0528'!G$48,4,FALSE),F25-D25))</f>
        <v>17</v>
      </c>
      <c r="K25" s="8">
        <f ca="1">G25-IFERROR(VLOOKUP($A25,'0528'!$A$1:'0528'!H$44,7,FALSE),IFERROR(VLOOKUP($C25,'0528'!$C$1:'0528'!H$44,5,FALSE),G25-E25))</f>
        <v>0</v>
      </c>
      <c r="L25" s="4">
        <f ca="1" t="shared" si="2"/>
        <v>0</v>
      </c>
      <c r="M25" s="2" t="s">
        <v>159</v>
      </c>
    </row>
    <row r="26" s="2" customFormat="1" spans="1:13">
      <c r="A26" s="2" t="s">
        <v>123</v>
      </c>
      <c r="B26" s="2" t="s">
        <v>10</v>
      </c>
      <c r="C26" s="9">
        <v>45685</v>
      </c>
      <c r="D26" s="2">
        <v>91</v>
      </c>
      <c r="E26" s="2">
        <v>9</v>
      </c>
      <c r="F26" s="2">
        <v>260</v>
      </c>
      <c r="G26" s="2">
        <v>533</v>
      </c>
      <c r="H26" s="4">
        <f t="shared" si="0"/>
        <v>0.0989010989010989</v>
      </c>
      <c r="I26" s="4">
        <f t="shared" si="1"/>
        <v>2.05</v>
      </c>
      <c r="J26" s="7">
        <f ca="1">F26-IFERROR(VLOOKUP($A26,'0528'!$A$1:'0528'!G$48,6,FALSE),IFERROR(VLOOKUP($C26,'0528'!$C$1:'0528'!G$48,4,FALSE),F26-D26))</f>
        <v>22</v>
      </c>
      <c r="K26" s="8">
        <f ca="1">G26-IFERROR(VLOOKUP($A26,'0528'!$A$1:'0528'!H$44,7,FALSE),IFERROR(VLOOKUP($C26,'0528'!$C$1:'0528'!H$44,5,FALSE),G26-E26))</f>
        <v>0</v>
      </c>
      <c r="L26" s="4">
        <f ca="1" t="shared" si="2"/>
        <v>0</v>
      </c>
      <c r="M26" s="2" t="s">
        <v>162</v>
      </c>
    </row>
    <row r="27" s="2" customFormat="1" spans="1:13">
      <c r="A27" s="2" t="s">
        <v>154</v>
      </c>
      <c r="B27" s="2" t="s">
        <v>10</v>
      </c>
      <c r="C27" s="9">
        <v>45619</v>
      </c>
      <c r="D27" s="2">
        <v>80</v>
      </c>
      <c r="E27" s="2">
        <v>4</v>
      </c>
      <c r="F27" s="2">
        <v>1873</v>
      </c>
      <c r="G27" s="2">
        <v>845</v>
      </c>
      <c r="H27" s="4">
        <f t="shared" si="0"/>
        <v>0.05</v>
      </c>
      <c r="I27" s="4">
        <f t="shared" si="1"/>
        <v>0.451147891083823</v>
      </c>
      <c r="J27" s="7">
        <f ca="1">F27-IFERROR(VLOOKUP($A27,'0528'!$A$1:'0528'!G$48,6,FALSE),IFERROR(VLOOKUP($C27,'0528'!$C$1:'0528'!G$48,4,FALSE),F27-D27))</f>
        <v>11</v>
      </c>
      <c r="K27" s="8">
        <f ca="1">G27-IFERROR(VLOOKUP($A27,'0528'!$A$1:'0528'!H$44,7,FALSE),IFERROR(VLOOKUP($C27,'0528'!$C$1:'0528'!H$44,5,FALSE),G27-E27))</f>
        <v>0</v>
      </c>
      <c r="L27" s="4">
        <f ca="1" t="shared" si="2"/>
        <v>0</v>
      </c>
      <c r="M27" s="2" t="s">
        <v>155</v>
      </c>
    </row>
    <row r="28" s="2" customFormat="1" spans="1:13">
      <c r="A28" s="2" t="s">
        <v>127</v>
      </c>
      <c r="B28" s="2" t="s">
        <v>10</v>
      </c>
      <c r="C28" s="9">
        <v>45547</v>
      </c>
      <c r="D28" s="2">
        <v>48</v>
      </c>
      <c r="E28" s="2">
        <v>1</v>
      </c>
      <c r="F28" s="2">
        <v>9151</v>
      </c>
      <c r="G28" s="2">
        <v>2510</v>
      </c>
      <c r="H28" s="4">
        <f t="shared" si="0"/>
        <v>0.0208333333333333</v>
      </c>
      <c r="I28" s="4">
        <f t="shared" si="1"/>
        <v>0.274286963173424</v>
      </c>
      <c r="J28" s="7">
        <f ca="1">F28-IFERROR(VLOOKUP($A28,'0528'!$A$1:'0528'!G$48,6,FALSE),IFERROR(VLOOKUP($C28,'0528'!$C$1:'0528'!G$48,4,FALSE),F28-D28))</f>
        <v>2</v>
      </c>
      <c r="K28" s="8">
        <f ca="1">G28-IFERROR(VLOOKUP($A28,'0528'!$A$1:'0528'!H$44,7,FALSE),IFERROR(VLOOKUP($C28,'0528'!$C$1:'0528'!H$44,5,FALSE),G28-E28))</f>
        <v>0</v>
      </c>
      <c r="L28" s="4">
        <f ca="1" t="shared" si="2"/>
        <v>0</v>
      </c>
      <c r="M28" s="2" t="s">
        <v>163</v>
      </c>
    </row>
    <row r="29" spans="11:11">
      <c r="K29" s="2">
        <f ca="1">SUM(K2:K28)</f>
        <v>643</v>
      </c>
    </row>
    <row r="35" spans="8:12">
      <c r="H35" s="10">
        <v>2.08823529411765</v>
      </c>
      <c r="I35" s="10">
        <v>6.54054054054054</v>
      </c>
      <c r="J35" s="11">
        <v>2</v>
      </c>
      <c r="K35" s="11">
        <v>0</v>
      </c>
      <c r="L35" s="10">
        <v>0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workbookViewId="0">
      <selection activeCell="A21" sqref="$A21:$XFD21"/>
    </sheetView>
  </sheetViews>
  <sheetFormatPr defaultColWidth="10" defaultRowHeight="14.4"/>
  <cols>
    <col min="1" max="1" width="45.6666666666667" style="2" customWidth="1"/>
    <col min="2" max="2" width="10" style="2" hidden="1" customWidth="1"/>
    <col min="3" max="3" width="10.7777777777778" style="2"/>
    <col min="4" max="7" width="6.55555555555556" style="2" customWidth="1"/>
    <col min="8" max="9" width="6.77777777777778" style="2" customWidth="1"/>
    <col min="10" max="10" width="7.66666666666667" style="2" customWidth="1"/>
    <col min="11" max="12" width="6.77777777777778" style="2" customWidth="1"/>
    <col min="13" max="13" width="20.3333333333333" style="2" customWidth="1"/>
    <col min="14" max="14" width="19.1111111111111" style="2" customWidth="1"/>
    <col min="15" max="16384" width="10" style="2"/>
  </cols>
  <sheetData>
    <row r="1" s="2" customForma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J1" s="5" t="s">
        <v>7</v>
      </c>
      <c r="K1" s="5" t="s">
        <v>8</v>
      </c>
      <c r="M1" s="6" t="s">
        <v>157</v>
      </c>
    </row>
    <row r="2" s="2" customFormat="1" spans="1:13">
      <c r="A2" s="2" t="s">
        <v>179</v>
      </c>
      <c r="B2" s="2" t="s">
        <v>10</v>
      </c>
      <c r="C2" s="9">
        <v>45806</v>
      </c>
      <c r="D2" s="2">
        <v>82</v>
      </c>
      <c r="E2" s="2">
        <v>334</v>
      </c>
      <c r="F2" s="2">
        <v>82</v>
      </c>
      <c r="G2" s="2">
        <v>334</v>
      </c>
      <c r="H2" s="4">
        <f t="shared" ref="H2:H28" si="0">E2/D2</f>
        <v>4.07317073170732</v>
      </c>
      <c r="I2" s="4">
        <f t="shared" ref="I2:I28" si="1">G2/F2</f>
        <v>4.07317073170732</v>
      </c>
      <c r="J2" s="7">
        <f ca="1">F2-IFERROR(VLOOKUP($A2,'0529'!$A$1:'0529'!G$48,6,FALSE),IFERROR(VLOOKUP($C2,'0529'!$C$1:'0529'!G$48,4,FALSE),F2-D2))</f>
        <v>82</v>
      </c>
      <c r="K2" s="8">
        <f ca="1">G2-IFERROR(VLOOKUP($A2,'0529'!$A$1:'0529'!H$44,7,FALSE),IFERROR(VLOOKUP($C2,'0529'!$C$1:'0529'!H$44,5,FALSE),G2-E2))</f>
        <v>334</v>
      </c>
      <c r="L2" s="4">
        <f ca="1" t="shared" ref="L2:L28" si="2">IFERROR(K2/J2,)</f>
        <v>4.07317073170732</v>
      </c>
      <c r="M2" s="6"/>
    </row>
    <row r="3" s="2" customFormat="1" spans="1:13">
      <c r="A3" s="2" t="s">
        <v>180</v>
      </c>
      <c r="B3" s="2" t="s">
        <v>10</v>
      </c>
      <c r="C3" s="9">
        <v>45806</v>
      </c>
      <c r="D3" s="2">
        <v>74</v>
      </c>
      <c r="E3" s="2">
        <v>241</v>
      </c>
      <c r="F3" s="2">
        <v>74</v>
      </c>
      <c r="G3" s="2">
        <v>241</v>
      </c>
      <c r="H3" s="4">
        <f t="shared" si="0"/>
        <v>3.25675675675676</v>
      </c>
      <c r="I3" s="4">
        <f t="shared" si="1"/>
        <v>3.25675675675676</v>
      </c>
      <c r="J3" s="7">
        <f ca="1">F3-IFERROR(VLOOKUP($A3,'0529'!$A$1:'0529'!G$48,6,FALSE),IFERROR(VLOOKUP($C3,'0529'!$C$1:'0529'!G$48,4,FALSE),F3-D3))</f>
        <v>74</v>
      </c>
      <c r="K3" s="8">
        <f ca="1">G3-IFERROR(VLOOKUP($A3,'0529'!$A$1:'0529'!H$44,7,FALSE),IFERROR(VLOOKUP($C3,'0529'!$C$1:'0529'!H$44,5,FALSE),G3-E3))</f>
        <v>241</v>
      </c>
      <c r="L3" s="4">
        <f ca="1" t="shared" si="2"/>
        <v>3.25675675675676</v>
      </c>
      <c r="M3" s="6"/>
    </row>
    <row r="4" s="2" customFormat="1" spans="1:13">
      <c r="A4" s="2" t="s">
        <v>176</v>
      </c>
      <c r="B4" s="2" t="s">
        <v>10</v>
      </c>
      <c r="C4" s="9">
        <v>45805</v>
      </c>
      <c r="D4" s="2">
        <v>205</v>
      </c>
      <c r="E4" s="2">
        <v>360</v>
      </c>
      <c r="F4" s="2">
        <v>205</v>
      </c>
      <c r="G4" s="2">
        <v>360</v>
      </c>
      <c r="H4" s="4">
        <f t="shared" si="0"/>
        <v>1.75609756097561</v>
      </c>
      <c r="I4" s="4">
        <f t="shared" si="1"/>
        <v>1.75609756097561</v>
      </c>
      <c r="J4" s="7">
        <f ca="1">F4-IFERROR(VLOOKUP($A4,'0529'!$A$1:'0529'!G$48,6,FALSE),IFERROR(VLOOKUP($C4,'0529'!$C$1:'0529'!G$48,4,FALSE),F4-D4))</f>
        <v>43</v>
      </c>
      <c r="K4" s="8">
        <f ca="1">G4-IFERROR(VLOOKUP($A4,'0529'!$A$1:'0529'!H$44,7,FALSE),IFERROR(VLOOKUP($C4,'0529'!$C$1:'0529'!H$44,5,FALSE),G4-E4))</f>
        <v>116</v>
      </c>
      <c r="L4" s="4">
        <f ca="1" t="shared" si="2"/>
        <v>2.69767441860465</v>
      </c>
      <c r="M4" s="6"/>
    </row>
    <row r="5" s="2" customFormat="1" spans="1:13">
      <c r="A5" s="2" t="s">
        <v>171</v>
      </c>
      <c r="B5" s="2" t="s">
        <v>10</v>
      </c>
      <c r="C5" s="9">
        <v>45804</v>
      </c>
      <c r="D5" s="2">
        <v>103</v>
      </c>
      <c r="E5" s="2">
        <v>417</v>
      </c>
      <c r="F5" s="2">
        <v>103</v>
      </c>
      <c r="G5" s="2">
        <v>417</v>
      </c>
      <c r="H5" s="4">
        <f t="shared" si="0"/>
        <v>4.04854368932039</v>
      </c>
      <c r="I5" s="4">
        <f t="shared" si="1"/>
        <v>4.04854368932039</v>
      </c>
      <c r="J5" s="7">
        <f ca="1">F5-IFERROR(VLOOKUP($A5,'0529'!$A$1:'0529'!G$48,6,FALSE),IFERROR(VLOOKUP($C5,'0529'!$C$1:'0529'!G$48,4,FALSE),F5-D5))</f>
        <v>4</v>
      </c>
      <c r="K5" s="8">
        <f ca="1">G5-IFERROR(VLOOKUP($A5,'0529'!$A$1:'0529'!H$44,7,FALSE),IFERROR(VLOOKUP($C5,'0529'!$C$1:'0529'!H$44,5,FALSE),G5-E5))</f>
        <v>0</v>
      </c>
      <c r="L5" s="4">
        <f ca="1" t="shared" si="2"/>
        <v>0</v>
      </c>
      <c r="M5" s="6"/>
    </row>
    <row r="6" s="2" customFormat="1" spans="1:13">
      <c r="A6" s="2" t="s">
        <v>172</v>
      </c>
      <c r="B6" s="2" t="s">
        <v>10</v>
      </c>
      <c r="C6" s="9">
        <v>45804</v>
      </c>
      <c r="D6" s="2">
        <v>125</v>
      </c>
      <c r="E6" s="2">
        <v>347</v>
      </c>
      <c r="F6" s="2">
        <v>125</v>
      </c>
      <c r="G6" s="2">
        <v>347</v>
      </c>
      <c r="H6" s="4">
        <f t="shared" si="0"/>
        <v>2.776</v>
      </c>
      <c r="I6" s="4">
        <f t="shared" si="1"/>
        <v>2.776</v>
      </c>
      <c r="J6" s="7">
        <f ca="1">F6-IFERROR(VLOOKUP($A6,'0529'!$A$1:'0529'!G$48,6,FALSE),IFERROR(VLOOKUP($C6,'0529'!$C$1:'0529'!G$48,4,FALSE),F6-D6))</f>
        <v>55</v>
      </c>
      <c r="K6" s="8">
        <f ca="1">G6-IFERROR(VLOOKUP($A6,'0529'!$A$1:'0529'!H$44,7,FALSE),IFERROR(VLOOKUP($C6,'0529'!$C$1:'0529'!H$44,5,FALSE),G6-E6))</f>
        <v>143</v>
      </c>
      <c r="L6" s="4">
        <f ca="1" t="shared" si="2"/>
        <v>2.6</v>
      </c>
      <c r="M6" s="6" t="s">
        <v>177</v>
      </c>
    </row>
    <row r="7" s="2" customFormat="1" spans="1:13">
      <c r="A7" s="2" t="s">
        <v>164</v>
      </c>
      <c r="B7" s="2" t="s">
        <v>10</v>
      </c>
      <c r="C7" s="9">
        <v>45803</v>
      </c>
      <c r="D7" s="2">
        <v>151</v>
      </c>
      <c r="E7" s="2">
        <v>420</v>
      </c>
      <c r="F7" s="2">
        <v>151</v>
      </c>
      <c r="G7" s="2">
        <v>420</v>
      </c>
      <c r="H7" s="4">
        <f t="shared" si="0"/>
        <v>2.78145695364238</v>
      </c>
      <c r="I7" s="4">
        <f t="shared" si="1"/>
        <v>2.78145695364238</v>
      </c>
      <c r="J7" s="7">
        <f ca="1">F7-IFERROR(VLOOKUP($A7,'0529'!$A$1:'0529'!G$48,6,FALSE),IFERROR(VLOOKUP($C7,'0529'!$C$1:'0529'!G$48,4,FALSE),F7-D7))</f>
        <v>5</v>
      </c>
      <c r="K7" s="8">
        <f ca="1">G7-IFERROR(VLOOKUP($A7,'0529'!$A$1:'0529'!H$44,7,FALSE),IFERROR(VLOOKUP($C7,'0529'!$C$1:'0529'!H$44,5,FALSE),G7-E7))</f>
        <v>28</v>
      </c>
      <c r="L7" s="4">
        <f ca="1" t="shared" si="2"/>
        <v>5.6</v>
      </c>
      <c r="M7" s="6"/>
    </row>
    <row r="8" s="2" customFormat="1" spans="1:13">
      <c r="A8" s="2" t="s">
        <v>165</v>
      </c>
      <c r="B8" s="2" t="s">
        <v>10</v>
      </c>
      <c r="C8" s="9">
        <v>45803</v>
      </c>
      <c r="D8" s="2">
        <v>463</v>
      </c>
      <c r="E8" s="2">
        <v>452</v>
      </c>
      <c r="F8" s="2">
        <v>463</v>
      </c>
      <c r="G8" s="2">
        <v>452</v>
      </c>
      <c r="H8" s="4">
        <f t="shared" si="0"/>
        <v>0.976241900647948</v>
      </c>
      <c r="I8" s="4">
        <f t="shared" si="1"/>
        <v>0.976241900647948</v>
      </c>
      <c r="J8" s="7">
        <f ca="1">F8-IFERROR(VLOOKUP($A8,'0529'!$A$1:'0529'!G$48,6,FALSE),IFERROR(VLOOKUP($C8,'0529'!$C$1:'0529'!G$48,4,FALSE),F8-D8))</f>
        <v>8</v>
      </c>
      <c r="K8" s="8">
        <f ca="1">G8-IFERROR(VLOOKUP($A8,'0529'!$A$1:'0529'!H$44,7,FALSE),IFERROR(VLOOKUP($C8,'0529'!$C$1:'0529'!H$44,5,FALSE),G8-E8))</f>
        <v>4</v>
      </c>
      <c r="L8" s="4">
        <f ca="1" t="shared" si="2"/>
        <v>0.5</v>
      </c>
      <c r="M8" s="6" t="s">
        <v>166</v>
      </c>
    </row>
    <row r="9" s="2" customFormat="1" spans="1:13">
      <c r="A9" s="2" t="s">
        <v>160</v>
      </c>
      <c r="B9" s="2" t="s">
        <v>10</v>
      </c>
      <c r="C9" s="9">
        <v>45802</v>
      </c>
      <c r="D9" s="2">
        <v>124</v>
      </c>
      <c r="E9" s="2">
        <v>319</v>
      </c>
      <c r="F9" s="2">
        <v>124</v>
      </c>
      <c r="G9" s="2">
        <v>319</v>
      </c>
      <c r="H9" s="4">
        <f t="shared" si="0"/>
        <v>2.57258064516129</v>
      </c>
      <c r="I9" s="4">
        <f t="shared" si="1"/>
        <v>2.57258064516129</v>
      </c>
      <c r="J9" s="7">
        <f ca="1">F9-IFERROR(VLOOKUP($A9,'0529'!$A$1:'0529'!G$48,6,FALSE),IFERROR(VLOOKUP($C9,'0529'!$C$1:'0529'!G$48,4,FALSE),F9-D9))</f>
        <v>16</v>
      </c>
      <c r="K9" s="8">
        <f ca="1">G9-IFERROR(VLOOKUP($A9,'0529'!$A$1:'0529'!H$44,7,FALSE),IFERROR(VLOOKUP($C9,'0529'!$C$1:'0529'!H$44,5,FALSE),G9-E9))</f>
        <v>90</v>
      </c>
      <c r="L9" s="4">
        <f ca="1" t="shared" si="2"/>
        <v>5.625</v>
      </c>
      <c r="M9" s="6" t="s">
        <v>173</v>
      </c>
    </row>
    <row r="10" s="2" customFormat="1" spans="1:12">
      <c r="A10" s="2" t="s">
        <v>158</v>
      </c>
      <c r="B10" s="2" t="s">
        <v>10</v>
      </c>
      <c r="C10" s="9">
        <v>45801</v>
      </c>
      <c r="D10" s="2">
        <v>320</v>
      </c>
      <c r="E10" s="2">
        <v>440</v>
      </c>
      <c r="F10" s="2">
        <v>320</v>
      </c>
      <c r="G10" s="2">
        <v>440</v>
      </c>
      <c r="H10" s="4">
        <f t="shared" si="0"/>
        <v>1.375</v>
      </c>
      <c r="I10" s="4">
        <f t="shared" si="1"/>
        <v>1.375</v>
      </c>
      <c r="J10" s="7">
        <f ca="1">F10-IFERROR(VLOOKUP($A10,'0529'!$A$1:'0529'!G$48,6,FALSE),IFERROR(VLOOKUP($C10,'0529'!$C$1:'0529'!G$48,4,FALSE),F10-D10))</f>
        <v>4</v>
      </c>
      <c r="K10" s="8">
        <f ca="1">G10-IFERROR(VLOOKUP($A10,'0529'!$A$1:'0529'!H$44,7,FALSE),IFERROR(VLOOKUP($C10,'0529'!$C$1:'0529'!H$44,5,FALSE),G10-E10))</f>
        <v>0</v>
      </c>
      <c r="L10" s="4">
        <f ca="1" t="shared" si="2"/>
        <v>0</v>
      </c>
    </row>
    <row r="11" s="2" customFormat="1" spans="1:12">
      <c r="A11" s="2" t="s">
        <v>156</v>
      </c>
      <c r="B11" s="2" t="s">
        <v>10</v>
      </c>
      <c r="C11" s="9">
        <v>45800</v>
      </c>
      <c r="D11" s="2">
        <v>2809</v>
      </c>
      <c r="E11" s="2">
        <v>326</v>
      </c>
      <c r="F11" s="2">
        <v>2809</v>
      </c>
      <c r="G11" s="2">
        <v>326</v>
      </c>
      <c r="H11" s="4">
        <f t="shared" si="0"/>
        <v>0.116055535777857</v>
      </c>
      <c r="I11" s="4">
        <f t="shared" si="1"/>
        <v>0.116055535777857</v>
      </c>
      <c r="J11" s="7">
        <f ca="1">F11-IFERROR(VLOOKUP($A11,'0529'!$A$1:'0529'!G$48,6,FALSE),IFERROR(VLOOKUP($C11,'0529'!$C$1:'0529'!G$48,4,FALSE),F11-D11))</f>
        <v>142</v>
      </c>
      <c r="K11" s="8">
        <f ca="1">G11-IFERROR(VLOOKUP($A11,'0529'!$A$1:'0529'!H$44,7,FALSE),IFERROR(VLOOKUP($C11,'0529'!$C$1:'0529'!H$44,5,FALSE),G11-E11))</f>
        <v>21</v>
      </c>
      <c r="L11" s="4">
        <f ca="1" t="shared" si="2"/>
        <v>0.147887323943662</v>
      </c>
    </row>
    <row r="12" s="2" customFormat="1" spans="1:12">
      <c r="A12" s="2" t="s">
        <v>151</v>
      </c>
      <c r="B12" s="2" t="s">
        <v>10</v>
      </c>
      <c r="C12" s="9">
        <v>45799</v>
      </c>
      <c r="D12" s="2">
        <v>87</v>
      </c>
      <c r="E12" s="2">
        <v>97</v>
      </c>
      <c r="F12" s="2">
        <v>154</v>
      </c>
      <c r="G12" s="2">
        <v>254</v>
      </c>
      <c r="H12" s="4">
        <f t="shared" si="0"/>
        <v>1.11494252873563</v>
      </c>
      <c r="I12" s="4">
        <f t="shared" si="1"/>
        <v>1.64935064935065</v>
      </c>
      <c r="J12" s="7">
        <f ca="1">F12-IFERROR(VLOOKUP($A12,'0529'!$A$1:'0529'!G$48,6,FALSE),IFERROR(VLOOKUP($C12,'0529'!$C$1:'0529'!G$48,4,FALSE),F12-D12))</f>
        <v>0</v>
      </c>
      <c r="K12" s="8">
        <f ca="1">G12-IFERROR(VLOOKUP($A12,'0529'!$A$1:'0529'!H$44,7,FALSE),IFERROR(VLOOKUP($C12,'0529'!$C$1:'0529'!H$44,5,FALSE),G12-E12))</f>
        <v>0</v>
      </c>
      <c r="L12" s="4">
        <f ca="1" t="shared" si="2"/>
        <v>0</v>
      </c>
    </row>
    <row r="13" s="2" customFormat="1" spans="1:14">
      <c r="A13" s="2" t="s">
        <v>148</v>
      </c>
      <c r="B13" s="2" t="s">
        <v>10</v>
      </c>
      <c r="C13" s="9">
        <v>45798</v>
      </c>
      <c r="D13" s="2">
        <v>80</v>
      </c>
      <c r="E13" s="2">
        <v>199</v>
      </c>
      <c r="F13" s="2">
        <v>248</v>
      </c>
      <c r="G13" s="2">
        <v>487</v>
      </c>
      <c r="H13" s="4">
        <f t="shared" si="0"/>
        <v>2.4875</v>
      </c>
      <c r="I13" s="4">
        <f t="shared" si="1"/>
        <v>1.96370967741935</v>
      </c>
      <c r="J13" s="7">
        <f ca="1">F13-IFERROR(VLOOKUP($A13,'0529'!$A$1:'0529'!G$48,6,FALSE),IFERROR(VLOOKUP($C13,'0529'!$C$1:'0529'!G$48,4,FALSE),F13-D13))</f>
        <v>28</v>
      </c>
      <c r="K13" s="8">
        <f ca="1">G13-IFERROR(VLOOKUP($A13,'0529'!$A$1:'0529'!H$44,7,FALSE),IFERROR(VLOOKUP($C13,'0529'!$C$1:'0529'!H$44,5,FALSE),G13-E13))</f>
        <v>0</v>
      </c>
      <c r="L13" s="4">
        <f ca="1" t="shared" si="2"/>
        <v>0</v>
      </c>
      <c r="M13" s="2" t="s">
        <v>167</v>
      </c>
      <c r="N13" s="2" t="s">
        <v>174</v>
      </c>
    </row>
    <row r="14" s="2" customFormat="1" spans="1:12">
      <c r="A14" s="2" t="s">
        <v>149</v>
      </c>
      <c r="B14" s="2" t="s">
        <v>10</v>
      </c>
      <c r="C14" s="9">
        <v>45798</v>
      </c>
      <c r="D14" s="2">
        <v>62</v>
      </c>
      <c r="E14" s="2">
        <v>4</v>
      </c>
      <c r="F14" s="2">
        <v>252</v>
      </c>
      <c r="G14" s="2">
        <v>242</v>
      </c>
      <c r="H14" s="4">
        <f t="shared" si="0"/>
        <v>0.0645161290322581</v>
      </c>
      <c r="I14" s="4">
        <f t="shared" si="1"/>
        <v>0.96031746031746</v>
      </c>
      <c r="J14" s="7">
        <f ca="1">F14-IFERROR(VLOOKUP($A14,'0529'!$A$1:'0529'!G$48,6,FALSE),IFERROR(VLOOKUP($C14,'0529'!$C$1:'0529'!G$48,4,FALSE),F14-D14))</f>
        <v>7</v>
      </c>
      <c r="K14" s="8">
        <f ca="1">G14-IFERROR(VLOOKUP($A14,'0529'!$A$1:'0529'!H$44,7,FALSE),IFERROR(VLOOKUP($C14,'0529'!$C$1:'0529'!H$44,5,FALSE),G14-E14))</f>
        <v>0</v>
      </c>
      <c r="L14" s="4">
        <f ca="1" t="shared" si="2"/>
        <v>0</v>
      </c>
    </row>
    <row r="15" s="2" customFormat="1" spans="1:14">
      <c r="A15" s="2" t="s">
        <v>146</v>
      </c>
      <c r="B15" s="2" t="s">
        <v>10</v>
      </c>
      <c r="C15" s="9">
        <v>45797</v>
      </c>
      <c r="D15" s="2">
        <v>301</v>
      </c>
      <c r="E15" s="2">
        <v>493</v>
      </c>
      <c r="F15" s="2">
        <v>427</v>
      </c>
      <c r="G15" s="2">
        <v>806</v>
      </c>
      <c r="H15" s="4">
        <f t="shared" si="0"/>
        <v>1.63787375415282</v>
      </c>
      <c r="I15" s="4">
        <f t="shared" si="1"/>
        <v>1.88758782201405</v>
      </c>
      <c r="J15" s="7">
        <f ca="1">F15-IFERROR(VLOOKUP($A15,'0529'!$A$1:'0529'!G$48,6,FALSE),IFERROR(VLOOKUP($C15,'0529'!$C$1:'0529'!G$48,4,FALSE),F15-D15))</f>
        <v>188</v>
      </c>
      <c r="K15" s="8">
        <f ca="1">G15-IFERROR(VLOOKUP($A15,'0529'!$A$1:'0529'!H$44,7,FALSE),IFERROR(VLOOKUP($C15,'0529'!$C$1:'0529'!H$44,5,FALSE),G15-E15))</f>
        <v>30</v>
      </c>
      <c r="L15" s="4">
        <f ca="1" t="shared" si="2"/>
        <v>0.159574468085106</v>
      </c>
      <c r="M15" s="2" t="s">
        <v>152</v>
      </c>
      <c r="N15" s="2" t="s">
        <v>178</v>
      </c>
    </row>
    <row r="16" s="2" customFormat="1" spans="1:14">
      <c r="A16" s="2" t="s">
        <v>142</v>
      </c>
      <c r="B16" s="2" t="s">
        <v>10</v>
      </c>
      <c r="C16" s="9">
        <v>45796</v>
      </c>
      <c r="D16" s="2">
        <v>30</v>
      </c>
      <c r="E16" s="2">
        <v>29</v>
      </c>
      <c r="F16" s="2">
        <v>162</v>
      </c>
      <c r="G16" s="2">
        <v>305</v>
      </c>
      <c r="H16" s="4">
        <f t="shared" si="0"/>
        <v>0.966666666666667</v>
      </c>
      <c r="I16" s="4">
        <f t="shared" si="1"/>
        <v>1.88271604938272</v>
      </c>
      <c r="J16" s="7">
        <f ca="1">F16-IFERROR(VLOOKUP($A16,'0529'!$A$1:'0529'!G$48,6,FALSE),IFERROR(VLOOKUP($C16,'0529'!$C$1:'0529'!G$48,4,FALSE),F16-D16))</f>
        <v>0</v>
      </c>
      <c r="K16" s="8">
        <f ca="1">G16-IFERROR(VLOOKUP($A16,'0529'!$A$1:'0529'!H$44,7,FALSE),IFERROR(VLOOKUP($C16,'0529'!$C$1:'0529'!H$44,5,FALSE),G16-E16))</f>
        <v>0</v>
      </c>
      <c r="L16" s="4">
        <f ca="1" t="shared" si="2"/>
        <v>0</v>
      </c>
      <c r="M16" s="2" t="s">
        <v>161</v>
      </c>
      <c r="N16" s="2" t="s">
        <v>168</v>
      </c>
    </row>
    <row r="17" s="2" customFormat="1" spans="1:12">
      <c r="A17" s="2" t="s">
        <v>130</v>
      </c>
      <c r="B17" s="2" t="s">
        <v>10</v>
      </c>
      <c r="C17" s="9">
        <v>45794</v>
      </c>
      <c r="D17" s="2">
        <v>4616</v>
      </c>
      <c r="E17" s="2">
        <v>1567</v>
      </c>
      <c r="F17" s="2">
        <v>40249</v>
      </c>
      <c r="G17" s="2">
        <v>12417</v>
      </c>
      <c r="H17" s="4">
        <f t="shared" si="0"/>
        <v>0.339471403812825</v>
      </c>
      <c r="I17" s="4">
        <f t="shared" si="1"/>
        <v>0.308504559119481</v>
      </c>
      <c r="J17" s="7">
        <f ca="1">F17-IFERROR(VLOOKUP($A17,'0529'!$A$1:'0529'!G$48,6,FALSE),IFERROR(VLOOKUP($C17,'0529'!$C$1:'0529'!G$48,4,FALSE),F17-D17))</f>
        <v>167</v>
      </c>
      <c r="K17" s="8">
        <f ca="1">G17-IFERROR(VLOOKUP($A17,'0529'!$A$1:'0529'!H$44,7,FALSE),IFERROR(VLOOKUP($C17,'0529'!$C$1:'0529'!H$44,5,FALSE),G17-E17))</f>
        <v>21</v>
      </c>
      <c r="L17" s="4">
        <f ca="1" t="shared" si="2"/>
        <v>0.125748502994012</v>
      </c>
    </row>
    <row r="18" s="2" customFormat="1" spans="1:12">
      <c r="A18" s="2" t="s">
        <v>120</v>
      </c>
      <c r="B18" s="2" t="s">
        <v>10</v>
      </c>
      <c r="C18" s="9">
        <v>45793</v>
      </c>
      <c r="D18" s="2">
        <v>69</v>
      </c>
      <c r="E18" s="2">
        <v>43</v>
      </c>
      <c r="F18" s="2">
        <v>304</v>
      </c>
      <c r="G18" s="2">
        <v>503</v>
      </c>
      <c r="H18" s="4">
        <f t="shared" si="0"/>
        <v>0.623188405797101</v>
      </c>
      <c r="I18" s="4">
        <f t="shared" si="1"/>
        <v>1.65460526315789</v>
      </c>
      <c r="J18" s="7">
        <f ca="1">F18-IFERROR(VLOOKUP($A18,'0529'!$A$1:'0529'!G$48,6,FALSE),IFERROR(VLOOKUP($C18,'0529'!$C$1:'0529'!G$48,4,FALSE),F18-D18))</f>
        <v>3</v>
      </c>
      <c r="K18" s="8">
        <f ca="1">G18-IFERROR(VLOOKUP($A18,'0529'!$A$1:'0529'!H$44,7,FALSE),IFERROR(VLOOKUP($C18,'0529'!$C$1:'0529'!H$44,5,FALSE),G18-E18))</f>
        <v>0</v>
      </c>
      <c r="L18" s="4">
        <f ca="1" t="shared" si="2"/>
        <v>0</v>
      </c>
    </row>
    <row r="19" s="2" customFormat="1" spans="1:13">
      <c r="A19" s="2" t="s">
        <v>115</v>
      </c>
      <c r="B19" s="2" t="s">
        <v>10</v>
      </c>
      <c r="C19" s="9">
        <v>45792</v>
      </c>
      <c r="D19" s="2">
        <v>40</v>
      </c>
      <c r="E19" s="2">
        <v>4</v>
      </c>
      <c r="F19" s="2">
        <v>280</v>
      </c>
      <c r="G19" s="2">
        <v>230</v>
      </c>
      <c r="H19" s="4">
        <f t="shared" si="0"/>
        <v>0.1</v>
      </c>
      <c r="I19" s="4">
        <f t="shared" si="1"/>
        <v>0.821428571428571</v>
      </c>
      <c r="J19" s="7">
        <f ca="1">F19-IFERROR(VLOOKUP($A19,'0529'!$A$1:'0529'!G$48,6,FALSE),IFERROR(VLOOKUP($C19,'0529'!$C$1:'0529'!G$48,4,FALSE),F19-D19))</f>
        <v>4</v>
      </c>
      <c r="K19" s="8">
        <f ca="1">G19-IFERROR(VLOOKUP($A19,'0529'!$A$1:'0529'!H$44,7,FALSE),IFERROR(VLOOKUP($C19,'0529'!$C$1:'0529'!H$44,5,FALSE),G19-E19))</f>
        <v>0</v>
      </c>
      <c r="L19" s="4">
        <f ca="1" t="shared" si="2"/>
        <v>0</v>
      </c>
      <c r="M19" s="2" t="s">
        <v>169</v>
      </c>
    </row>
    <row r="20" s="2" customFormat="1" spans="1:14">
      <c r="A20" s="2" t="s">
        <v>116</v>
      </c>
      <c r="B20" s="2" t="s">
        <v>10</v>
      </c>
      <c r="C20" s="9">
        <v>45792</v>
      </c>
      <c r="D20" s="2">
        <v>147</v>
      </c>
      <c r="E20" s="2">
        <v>91</v>
      </c>
      <c r="F20" s="2">
        <v>315</v>
      </c>
      <c r="G20" s="2">
        <v>788</v>
      </c>
      <c r="H20" s="4">
        <f t="shared" si="0"/>
        <v>0.619047619047619</v>
      </c>
      <c r="I20" s="4">
        <f t="shared" si="1"/>
        <v>2.5015873015873</v>
      </c>
      <c r="J20" s="7">
        <f ca="1">F20-IFERROR(VLOOKUP($A20,'0529'!$A$1:'0529'!G$48,6,FALSE),IFERROR(VLOOKUP($C20,'0529'!$C$1:'0529'!G$48,4,FALSE),F20-D20))</f>
        <v>6</v>
      </c>
      <c r="K20" s="8">
        <f ca="1">G20-IFERROR(VLOOKUP($A20,'0529'!$A$1:'0529'!H$44,7,FALSE),IFERROR(VLOOKUP($C20,'0529'!$C$1:'0529'!H$44,5,FALSE),G20-E20))</f>
        <v>0</v>
      </c>
      <c r="L20" s="4">
        <f ca="1" t="shared" si="2"/>
        <v>0</v>
      </c>
      <c r="M20" s="2" t="s">
        <v>133</v>
      </c>
      <c r="N20" s="2" t="s">
        <v>170</v>
      </c>
    </row>
    <row r="21" s="2" customFormat="1" spans="1:13">
      <c r="A21" s="2" t="s">
        <v>105</v>
      </c>
      <c r="B21" s="2" t="s">
        <v>10</v>
      </c>
      <c r="C21" s="9">
        <v>45789</v>
      </c>
      <c r="D21" s="2">
        <v>30</v>
      </c>
      <c r="E21" s="2">
        <v>6</v>
      </c>
      <c r="F21" s="2">
        <v>230</v>
      </c>
      <c r="G21" s="2">
        <v>570</v>
      </c>
      <c r="H21" s="4">
        <f t="shared" si="0"/>
        <v>0.2</v>
      </c>
      <c r="I21" s="4">
        <f t="shared" si="1"/>
        <v>2.47826086956522</v>
      </c>
      <c r="J21" s="7">
        <f ca="1">F21-IFERROR(VLOOKUP($A21,'0529'!$A$1:'0529'!G$48,6,FALSE),IFERROR(VLOOKUP($C21,'0529'!$C$1:'0529'!G$48,4,FALSE),F21-D21))</f>
        <v>0</v>
      </c>
      <c r="K21" s="8">
        <f ca="1">G21-IFERROR(VLOOKUP($A21,'0529'!$A$1:'0529'!H$44,7,FALSE),IFERROR(VLOOKUP($C21,'0529'!$C$1:'0529'!H$44,5,FALSE),G21-E21))</f>
        <v>0</v>
      </c>
      <c r="L21" s="4">
        <f ca="1" t="shared" si="2"/>
        <v>0</v>
      </c>
      <c r="M21" s="2" t="s">
        <v>131</v>
      </c>
    </row>
    <row r="22" s="2" customFormat="1" spans="1:13">
      <c r="A22" s="2" t="s">
        <v>93</v>
      </c>
      <c r="B22" s="2" t="s">
        <v>10</v>
      </c>
      <c r="C22" s="9">
        <v>45786</v>
      </c>
      <c r="D22" s="2">
        <v>74</v>
      </c>
      <c r="E22" s="2">
        <v>12</v>
      </c>
      <c r="F22" s="2">
        <v>408</v>
      </c>
      <c r="G22" s="2">
        <v>299</v>
      </c>
      <c r="H22" s="4">
        <f t="shared" si="0"/>
        <v>0.162162162162162</v>
      </c>
      <c r="I22" s="4">
        <f t="shared" si="1"/>
        <v>0.732843137254902</v>
      </c>
      <c r="J22" s="7">
        <f ca="1">F22-IFERROR(VLOOKUP($A22,'0529'!$A$1:'0529'!G$48,6,FALSE),IFERROR(VLOOKUP($C22,'0529'!$C$1:'0529'!G$48,4,FALSE),F22-D22))</f>
        <v>6</v>
      </c>
      <c r="K22" s="8">
        <f ca="1">G22-IFERROR(VLOOKUP($A22,'0529'!$A$1:'0529'!H$44,7,FALSE),IFERROR(VLOOKUP($C22,'0529'!$C$1:'0529'!H$44,5,FALSE),G22-E22))</f>
        <v>0</v>
      </c>
      <c r="L22" s="4">
        <f ca="1" t="shared" si="2"/>
        <v>0</v>
      </c>
      <c r="M22" s="2" t="s">
        <v>175</v>
      </c>
    </row>
    <row r="23" s="2" customFormat="1" spans="1:12">
      <c r="A23" s="2" t="s">
        <v>134</v>
      </c>
      <c r="B23" s="2" t="s">
        <v>10</v>
      </c>
      <c r="C23" s="9">
        <v>45780</v>
      </c>
      <c r="D23" s="2">
        <v>3901</v>
      </c>
      <c r="E23" s="2">
        <v>83</v>
      </c>
      <c r="F23" s="2">
        <v>5633</v>
      </c>
      <c r="G23" s="2">
        <v>681</v>
      </c>
      <c r="H23" s="4">
        <f t="shared" si="0"/>
        <v>0.0212765957446809</v>
      </c>
      <c r="I23" s="4">
        <f t="shared" si="1"/>
        <v>0.120894727498669</v>
      </c>
      <c r="J23" s="7">
        <f ca="1">F23-IFERROR(VLOOKUP($A23,'0529'!$A$1:'0529'!G$48,6,FALSE),IFERROR(VLOOKUP($C23,'0529'!$C$1:'0529'!G$48,4,FALSE),F23-D23))</f>
        <v>105</v>
      </c>
      <c r="K23" s="8">
        <f ca="1">G23-IFERROR(VLOOKUP($A23,'0529'!$A$1:'0529'!H$44,7,FALSE),IFERROR(VLOOKUP($C23,'0529'!$C$1:'0529'!H$44,5,FALSE),G23-E23))</f>
        <v>0</v>
      </c>
      <c r="L23" s="4">
        <f ca="1" t="shared" si="2"/>
        <v>0</v>
      </c>
    </row>
    <row r="24" s="2" customFormat="1" spans="1:13">
      <c r="A24" s="2" t="s">
        <v>73</v>
      </c>
      <c r="B24" s="2" t="s">
        <v>10</v>
      </c>
      <c r="C24" s="9">
        <v>45755</v>
      </c>
      <c r="D24" s="2">
        <v>5</v>
      </c>
      <c r="E24" s="2">
        <v>6</v>
      </c>
      <c r="F24" s="2">
        <v>489</v>
      </c>
      <c r="G24" s="2">
        <v>532</v>
      </c>
      <c r="H24" s="4">
        <f t="shared" si="0"/>
        <v>1.2</v>
      </c>
      <c r="I24" s="4">
        <f t="shared" si="1"/>
        <v>1.0879345603272</v>
      </c>
      <c r="J24" s="7">
        <f ca="1">F24-IFERROR(VLOOKUP($A24,'0529'!$A$1:'0529'!G$48,6,FALSE),IFERROR(VLOOKUP($C24,'0529'!$C$1:'0529'!G$48,4,FALSE),F24-D24))</f>
        <v>5</v>
      </c>
      <c r="K24" s="8">
        <f ca="1">G24-IFERROR(VLOOKUP($A24,'0529'!$A$1:'0529'!H$44,7,FALSE),IFERROR(VLOOKUP($C24,'0529'!$C$1:'0529'!H$44,5,FALSE),G24-E24))</f>
        <v>6</v>
      </c>
      <c r="L24" s="4">
        <f ca="1" t="shared" si="2"/>
        <v>1.2</v>
      </c>
      <c r="M24" s="2" t="s">
        <v>181</v>
      </c>
    </row>
    <row r="25" s="2" customFormat="1" spans="1:13">
      <c r="A25" s="2" t="s">
        <v>52</v>
      </c>
      <c r="B25" s="2" t="s">
        <v>10</v>
      </c>
      <c r="C25" s="9">
        <v>45743</v>
      </c>
      <c r="D25" s="2">
        <v>134</v>
      </c>
      <c r="E25" s="2">
        <v>30</v>
      </c>
      <c r="F25" s="2">
        <v>5376</v>
      </c>
      <c r="G25" s="2">
        <v>2121</v>
      </c>
      <c r="H25" s="4">
        <f t="shared" si="0"/>
        <v>0.223880597014925</v>
      </c>
      <c r="I25" s="4">
        <f t="shared" si="1"/>
        <v>0.39453125</v>
      </c>
      <c r="J25" s="7">
        <f ca="1">F25-IFERROR(VLOOKUP($A25,'0529'!$A$1:'0529'!G$48,6,FALSE),IFERROR(VLOOKUP($C25,'0529'!$C$1:'0529'!G$48,4,FALSE),F25-D25))</f>
        <v>16</v>
      </c>
      <c r="K25" s="8">
        <f ca="1">G25-IFERROR(VLOOKUP($A25,'0529'!$A$1:'0529'!H$44,7,FALSE),IFERROR(VLOOKUP($C25,'0529'!$C$1:'0529'!H$44,5,FALSE),G25-E25))</f>
        <v>0</v>
      </c>
      <c r="L25" s="4">
        <f ca="1" t="shared" si="2"/>
        <v>0</v>
      </c>
      <c r="M25" s="2" t="s">
        <v>159</v>
      </c>
    </row>
    <row r="26" s="2" customFormat="1" spans="1:13">
      <c r="A26" s="2" t="s">
        <v>123</v>
      </c>
      <c r="B26" s="2" t="s">
        <v>10</v>
      </c>
      <c r="C26" s="9">
        <v>45685</v>
      </c>
      <c r="D26" s="2">
        <v>118</v>
      </c>
      <c r="E26" s="2">
        <v>9</v>
      </c>
      <c r="F26" s="2">
        <v>293</v>
      </c>
      <c r="G26" s="2">
        <v>533</v>
      </c>
      <c r="H26" s="4">
        <f t="shared" si="0"/>
        <v>0.076271186440678</v>
      </c>
      <c r="I26" s="4">
        <f t="shared" si="1"/>
        <v>1.81911262798635</v>
      </c>
      <c r="J26" s="7">
        <f ca="1">F26-IFERROR(VLOOKUP($A26,'0529'!$A$1:'0529'!G$48,6,FALSE),IFERROR(VLOOKUP($C26,'0529'!$C$1:'0529'!G$48,4,FALSE),F26-D26))</f>
        <v>33</v>
      </c>
      <c r="K26" s="8">
        <f ca="1">G26-IFERROR(VLOOKUP($A26,'0529'!$A$1:'0529'!H$44,7,FALSE),IFERROR(VLOOKUP($C26,'0529'!$C$1:'0529'!H$44,5,FALSE),G26-E26))</f>
        <v>0</v>
      </c>
      <c r="L26" s="4">
        <f ca="1" t="shared" si="2"/>
        <v>0</v>
      </c>
      <c r="M26" s="2" t="s">
        <v>162</v>
      </c>
    </row>
    <row r="27" s="2" customFormat="1" spans="1:13">
      <c r="A27" s="2" t="s">
        <v>127</v>
      </c>
      <c r="B27" s="2" t="s">
        <v>10</v>
      </c>
      <c r="C27" s="9">
        <v>45547</v>
      </c>
      <c r="D27" s="2">
        <v>48</v>
      </c>
      <c r="E27" s="2">
        <v>1</v>
      </c>
      <c r="F27" s="2">
        <v>9151</v>
      </c>
      <c r="G27" s="2">
        <v>2510</v>
      </c>
      <c r="H27" s="4">
        <f t="shared" si="0"/>
        <v>0.0208333333333333</v>
      </c>
      <c r="I27" s="4">
        <f t="shared" si="1"/>
        <v>0.274286963173424</v>
      </c>
      <c r="J27" s="7">
        <f ca="1">F27-IFERROR(VLOOKUP($A27,'0529'!$A$1:'0529'!G$48,6,FALSE),IFERROR(VLOOKUP($C27,'0529'!$C$1:'0529'!G$48,4,FALSE),F27-D27))</f>
        <v>0</v>
      </c>
      <c r="K27" s="8">
        <f ca="1">G27-IFERROR(VLOOKUP($A27,'0529'!$A$1:'0529'!H$44,7,FALSE),IFERROR(VLOOKUP($C27,'0529'!$C$1:'0529'!H$44,5,FALSE),G27-E27))</f>
        <v>0</v>
      </c>
      <c r="L27" s="4">
        <f ca="1" t="shared" si="2"/>
        <v>0</v>
      </c>
      <c r="M27" s="2" t="s">
        <v>163</v>
      </c>
    </row>
    <row r="28" spans="11:11">
      <c r="K28" s="2">
        <f ca="1">SUM(K2:K27)</f>
        <v>1034</v>
      </c>
    </row>
    <row r="34" spans="8:12">
      <c r="H34" s="10">
        <v>2.08823529411765</v>
      </c>
      <c r="I34" s="10">
        <v>6.54054054054054</v>
      </c>
      <c r="J34" s="11">
        <v>2</v>
      </c>
      <c r="K34" s="11">
        <v>0</v>
      </c>
      <c r="L34" s="10">
        <v>0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workbookViewId="0">
      <selection activeCell="A14" sqref="$A14:$XFD15"/>
    </sheetView>
  </sheetViews>
  <sheetFormatPr defaultColWidth="10" defaultRowHeight="14.4"/>
  <cols>
    <col min="1" max="1" width="54.5555555555556" style="2" customWidth="1"/>
    <col min="2" max="2" width="0.111111111111111" style="2" customWidth="1"/>
    <col min="3" max="3" width="10" style="2"/>
    <col min="4" max="7" width="6" style="2" customWidth="1"/>
    <col min="8" max="9" width="6.77777777777778" style="2" customWidth="1"/>
    <col min="10" max="10" width="7.66666666666667" style="2" customWidth="1"/>
    <col min="11" max="12" width="6.77777777777778" style="2" customWidth="1"/>
    <col min="13" max="13" width="20.3333333333333" style="2" customWidth="1"/>
    <col min="14" max="14" width="19.1111111111111" style="2" customWidth="1"/>
    <col min="15" max="16384" width="10" style="2"/>
  </cols>
  <sheetData>
    <row r="1" s="2" customForma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J1" s="5" t="s">
        <v>7</v>
      </c>
      <c r="K1" s="5" t="s">
        <v>8</v>
      </c>
      <c r="M1" s="6" t="s">
        <v>157</v>
      </c>
    </row>
    <row r="2" s="2" customFormat="1" spans="1:13">
      <c r="A2" s="2" t="s">
        <v>182</v>
      </c>
      <c r="B2" s="2" t="s">
        <v>10</v>
      </c>
      <c r="C2" s="9">
        <v>45807</v>
      </c>
      <c r="D2" s="2">
        <v>38</v>
      </c>
      <c r="E2" s="2">
        <v>126</v>
      </c>
      <c r="F2" s="2">
        <v>38</v>
      </c>
      <c r="G2" s="2">
        <v>126</v>
      </c>
      <c r="H2" s="4">
        <f t="shared" ref="H2:H27" si="0">E2/D2</f>
        <v>3.31578947368421</v>
      </c>
      <c r="I2" s="4">
        <f t="shared" ref="I2:I27" si="1">G2/F2</f>
        <v>3.31578947368421</v>
      </c>
      <c r="J2" s="7">
        <f ca="1">F2-IFERROR(VLOOKUP($A2,'0530'!$A$1:'0530'!G$48,6,FALSE),IFERROR(VLOOKUP($C2,'0530'!$C$1:'0530'!G$48,4,FALSE),F2-D2))</f>
        <v>38</v>
      </c>
      <c r="K2" s="8">
        <f ca="1">G2-IFERROR(VLOOKUP($A2,'0530'!$A$1:'0530'!H$44,7,FALSE),IFERROR(VLOOKUP($C2,'0530'!$C$1:'0530'!H$44,5,FALSE),G2-E2))</f>
        <v>126</v>
      </c>
      <c r="L2" s="4">
        <f ca="1" t="shared" ref="L2:L27" si="2">IFERROR(K2/J2,)</f>
        <v>3.31578947368421</v>
      </c>
      <c r="M2" s="6" t="s">
        <v>183</v>
      </c>
    </row>
    <row r="3" s="2" customFormat="1" spans="1:13">
      <c r="A3" s="2" t="s">
        <v>179</v>
      </c>
      <c r="B3" s="2" t="s">
        <v>10</v>
      </c>
      <c r="C3" s="9">
        <v>45806</v>
      </c>
      <c r="D3" s="2">
        <v>171</v>
      </c>
      <c r="E3" s="2">
        <v>434</v>
      </c>
      <c r="F3" s="2">
        <v>171</v>
      </c>
      <c r="G3" s="2">
        <v>434</v>
      </c>
      <c r="H3" s="4">
        <f t="shared" si="0"/>
        <v>2.53801169590643</v>
      </c>
      <c r="I3" s="4">
        <f t="shared" si="1"/>
        <v>2.53801169590643</v>
      </c>
      <c r="J3" s="7">
        <f ca="1">F3-IFERROR(VLOOKUP($A3,'0530'!$A$1:'0530'!G$48,6,FALSE),IFERROR(VLOOKUP($C3,'0530'!$C$1:'0530'!G$48,4,FALSE),F3-D3))</f>
        <v>89</v>
      </c>
      <c r="K3" s="8">
        <f ca="1">G3-IFERROR(VLOOKUP($A3,'0530'!$A$1:'0530'!H$44,7,FALSE),IFERROR(VLOOKUP($C3,'0530'!$C$1:'0530'!H$44,5,FALSE),G3-E3))</f>
        <v>100</v>
      </c>
      <c r="L3" s="4">
        <f ca="1" t="shared" si="2"/>
        <v>1.12359550561798</v>
      </c>
      <c r="M3" s="6"/>
    </row>
    <row r="4" s="2" customFormat="1" spans="1:13">
      <c r="A4" s="2" t="s">
        <v>180</v>
      </c>
      <c r="B4" s="2" t="s">
        <v>10</v>
      </c>
      <c r="C4" s="9">
        <v>45806</v>
      </c>
      <c r="D4" s="2">
        <v>129</v>
      </c>
      <c r="E4" s="2">
        <v>255</v>
      </c>
      <c r="F4" s="2">
        <v>129</v>
      </c>
      <c r="G4" s="2">
        <v>255</v>
      </c>
      <c r="H4" s="4">
        <f t="shared" si="0"/>
        <v>1.97674418604651</v>
      </c>
      <c r="I4" s="4">
        <f t="shared" si="1"/>
        <v>1.97674418604651</v>
      </c>
      <c r="J4" s="7">
        <f ca="1">F4-IFERROR(VLOOKUP($A4,'0530'!$A$1:'0530'!G$48,6,FALSE),IFERROR(VLOOKUP($C4,'0530'!$C$1:'0530'!G$48,4,FALSE),F4-D4))</f>
        <v>55</v>
      </c>
      <c r="K4" s="8">
        <f ca="1">G4-IFERROR(VLOOKUP($A4,'0530'!$A$1:'0530'!H$44,7,FALSE),IFERROR(VLOOKUP($C4,'0530'!$C$1:'0530'!H$44,5,FALSE),G4-E4))</f>
        <v>14</v>
      </c>
      <c r="L4" s="4">
        <f ca="1" t="shared" si="2"/>
        <v>0.254545454545455</v>
      </c>
      <c r="M4" s="6"/>
    </row>
    <row r="5" s="2" customFormat="1" spans="1:13">
      <c r="A5" s="2" t="s">
        <v>176</v>
      </c>
      <c r="B5" s="2" t="s">
        <v>10</v>
      </c>
      <c r="C5" s="9">
        <v>45805</v>
      </c>
      <c r="D5" s="2">
        <v>287</v>
      </c>
      <c r="E5" s="2">
        <v>394</v>
      </c>
      <c r="F5" s="2">
        <v>287</v>
      </c>
      <c r="G5" s="2">
        <v>394</v>
      </c>
      <c r="H5" s="4">
        <f t="shared" si="0"/>
        <v>1.37282229965157</v>
      </c>
      <c r="I5" s="4">
        <f t="shared" si="1"/>
        <v>1.37282229965157</v>
      </c>
      <c r="J5" s="7">
        <f ca="1">F5-IFERROR(VLOOKUP($A5,'0530'!$A$1:'0530'!G$48,6,FALSE),IFERROR(VLOOKUP($C5,'0530'!$C$1:'0530'!G$48,4,FALSE),F5-D5))</f>
        <v>82</v>
      </c>
      <c r="K5" s="8">
        <f ca="1">G5-IFERROR(VLOOKUP($A5,'0530'!$A$1:'0530'!H$44,7,FALSE),IFERROR(VLOOKUP($C5,'0530'!$C$1:'0530'!H$44,5,FALSE),G5-E5))</f>
        <v>34</v>
      </c>
      <c r="L5" s="4">
        <f ca="1" t="shared" si="2"/>
        <v>0.414634146341463</v>
      </c>
      <c r="M5" s="6"/>
    </row>
    <row r="6" s="2" customFormat="1" spans="1:13">
      <c r="A6" s="2" t="s">
        <v>171</v>
      </c>
      <c r="B6" s="2" t="s">
        <v>10</v>
      </c>
      <c r="C6" s="9">
        <v>45804</v>
      </c>
      <c r="D6" s="2">
        <v>111</v>
      </c>
      <c r="E6" s="2">
        <v>421</v>
      </c>
      <c r="F6" s="2">
        <v>111</v>
      </c>
      <c r="G6" s="2">
        <v>421</v>
      </c>
      <c r="H6" s="4">
        <f t="shared" si="0"/>
        <v>3.79279279279279</v>
      </c>
      <c r="I6" s="4">
        <f t="shared" si="1"/>
        <v>3.79279279279279</v>
      </c>
      <c r="J6" s="7">
        <f ca="1">F6-IFERROR(VLOOKUP($A6,'0530'!$A$1:'0530'!G$48,6,FALSE),IFERROR(VLOOKUP($C6,'0530'!$C$1:'0530'!G$48,4,FALSE),F6-D6))</f>
        <v>8</v>
      </c>
      <c r="K6" s="8">
        <f ca="1">G6-IFERROR(VLOOKUP($A6,'0530'!$A$1:'0530'!H$44,7,FALSE),IFERROR(VLOOKUP($C6,'0530'!$C$1:'0530'!H$44,5,FALSE),G6-E6))</f>
        <v>4</v>
      </c>
      <c r="L6" s="4">
        <f ca="1" t="shared" si="2"/>
        <v>0.5</v>
      </c>
      <c r="M6" s="6" t="s">
        <v>184</v>
      </c>
    </row>
    <row r="7" s="2" customFormat="1" spans="1:13">
      <c r="A7" s="2" t="s">
        <v>172</v>
      </c>
      <c r="B7" s="2" t="s">
        <v>10</v>
      </c>
      <c r="C7" s="9">
        <v>45804</v>
      </c>
      <c r="D7" s="2">
        <v>163</v>
      </c>
      <c r="E7" s="2">
        <v>368</v>
      </c>
      <c r="F7" s="2">
        <v>163</v>
      </c>
      <c r="G7" s="2">
        <v>368</v>
      </c>
      <c r="H7" s="4">
        <f t="shared" si="0"/>
        <v>2.25766871165644</v>
      </c>
      <c r="I7" s="4">
        <f t="shared" si="1"/>
        <v>2.25766871165644</v>
      </c>
      <c r="J7" s="7">
        <f ca="1">F7-IFERROR(VLOOKUP($A7,'0530'!$A$1:'0530'!G$48,6,FALSE),IFERROR(VLOOKUP($C7,'0530'!$C$1:'0530'!G$48,4,FALSE),F7-D7))</f>
        <v>38</v>
      </c>
      <c r="K7" s="8">
        <f ca="1">G7-IFERROR(VLOOKUP($A7,'0530'!$A$1:'0530'!H$44,7,FALSE),IFERROR(VLOOKUP($C7,'0530'!$C$1:'0530'!H$44,5,FALSE),G7-E7))</f>
        <v>21</v>
      </c>
      <c r="L7" s="4">
        <f ca="1" t="shared" si="2"/>
        <v>0.552631578947368</v>
      </c>
      <c r="M7" s="6" t="s">
        <v>177</v>
      </c>
    </row>
    <row r="8" s="2" customFormat="1" spans="1:13">
      <c r="A8" s="2" t="s">
        <v>164</v>
      </c>
      <c r="B8" s="2" t="s">
        <v>10</v>
      </c>
      <c r="C8" s="9">
        <v>45803</v>
      </c>
      <c r="D8" s="2">
        <v>167</v>
      </c>
      <c r="E8" s="2">
        <v>448</v>
      </c>
      <c r="F8" s="2">
        <v>167</v>
      </c>
      <c r="G8" s="2">
        <v>448</v>
      </c>
      <c r="H8" s="4">
        <f t="shared" si="0"/>
        <v>2.68263473053892</v>
      </c>
      <c r="I8" s="4">
        <f t="shared" si="1"/>
        <v>2.68263473053892</v>
      </c>
      <c r="J8" s="7">
        <f ca="1">F8-IFERROR(VLOOKUP($A8,'0530'!$A$1:'0530'!G$48,6,FALSE),IFERROR(VLOOKUP($C8,'0530'!$C$1:'0530'!G$48,4,FALSE),F8-D8))</f>
        <v>16</v>
      </c>
      <c r="K8" s="8">
        <f ca="1">G8-IFERROR(VLOOKUP($A8,'0530'!$A$1:'0530'!H$44,7,FALSE),IFERROR(VLOOKUP($C8,'0530'!$C$1:'0530'!H$44,5,FALSE),G8-E8))</f>
        <v>28</v>
      </c>
      <c r="L8" s="4">
        <f ca="1" t="shared" si="2"/>
        <v>1.75</v>
      </c>
      <c r="M8" s="6"/>
    </row>
    <row r="9" s="2" customFormat="1" spans="1:13">
      <c r="A9" s="2" t="s">
        <v>165</v>
      </c>
      <c r="B9" s="2" t="s">
        <v>10</v>
      </c>
      <c r="C9" s="9">
        <v>45803</v>
      </c>
      <c r="D9" s="2">
        <v>464</v>
      </c>
      <c r="E9" s="2">
        <v>460</v>
      </c>
      <c r="F9" s="2">
        <v>464</v>
      </c>
      <c r="G9" s="2">
        <v>460</v>
      </c>
      <c r="H9" s="4">
        <f t="shared" si="0"/>
        <v>0.991379310344828</v>
      </c>
      <c r="I9" s="4">
        <f t="shared" si="1"/>
        <v>0.991379310344828</v>
      </c>
      <c r="J9" s="7">
        <f ca="1">F9-IFERROR(VLOOKUP($A9,'0530'!$A$1:'0530'!G$48,6,FALSE),IFERROR(VLOOKUP($C9,'0530'!$C$1:'0530'!G$48,4,FALSE),F9-D9))</f>
        <v>1</v>
      </c>
      <c r="K9" s="8">
        <f ca="1">G9-IFERROR(VLOOKUP($A9,'0530'!$A$1:'0530'!H$44,7,FALSE),IFERROR(VLOOKUP($C9,'0530'!$C$1:'0530'!H$44,5,FALSE),G9-E9))</f>
        <v>8</v>
      </c>
      <c r="L9" s="4">
        <f ca="1" t="shared" si="2"/>
        <v>8</v>
      </c>
      <c r="M9" s="6" t="s">
        <v>166</v>
      </c>
    </row>
    <row r="10" s="2" customFormat="1" spans="1:13">
      <c r="A10" s="2" t="s">
        <v>160</v>
      </c>
      <c r="B10" s="2" t="s">
        <v>10</v>
      </c>
      <c r="C10" s="9">
        <v>45802</v>
      </c>
      <c r="D10" s="2">
        <v>132</v>
      </c>
      <c r="E10" s="2">
        <v>323</v>
      </c>
      <c r="F10" s="2">
        <v>132</v>
      </c>
      <c r="G10" s="2">
        <v>323</v>
      </c>
      <c r="H10" s="4">
        <f t="shared" si="0"/>
        <v>2.4469696969697</v>
      </c>
      <c r="I10" s="4">
        <f t="shared" si="1"/>
        <v>2.4469696969697</v>
      </c>
      <c r="J10" s="7">
        <f ca="1">F10-IFERROR(VLOOKUP($A10,'0530'!$A$1:'0530'!G$48,6,FALSE),IFERROR(VLOOKUP($C10,'0530'!$C$1:'0530'!G$48,4,FALSE),F10-D10))</f>
        <v>8</v>
      </c>
      <c r="K10" s="8">
        <f ca="1">G10-IFERROR(VLOOKUP($A10,'0530'!$A$1:'0530'!H$44,7,FALSE),IFERROR(VLOOKUP($C10,'0530'!$C$1:'0530'!H$44,5,FALSE),G10-E10))</f>
        <v>4</v>
      </c>
      <c r="L10" s="4">
        <f ca="1" t="shared" si="2"/>
        <v>0.5</v>
      </c>
      <c r="M10" s="6" t="s">
        <v>173</v>
      </c>
    </row>
    <row r="11" s="2" customFormat="1" spans="1:12">
      <c r="A11" s="2" t="s">
        <v>158</v>
      </c>
      <c r="B11" s="2" t="s">
        <v>10</v>
      </c>
      <c r="C11" s="9">
        <v>45801</v>
      </c>
      <c r="D11" s="2">
        <v>326</v>
      </c>
      <c r="E11" s="2">
        <v>440</v>
      </c>
      <c r="F11" s="2">
        <v>326</v>
      </c>
      <c r="G11" s="2">
        <v>440</v>
      </c>
      <c r="H11" s="4">
        <f t="shared" si="0"/>
        <v>1.34969325153374</v>
      </c>
      <c r="I11" s="4">
        <f t="shared" si="1"/>
        <v>1.34969325153374</v>
      </c>
      <c r="J11" s="7">
        <f ca="1">F11-IFERROR(VLOOKUP($A11,'0530'!$A$1:'0530'!G$48,6,FALSE),IFERROR(VLOOKUP($C11,'0530'!$C$1:'0530'!G$48,4,FALSE),F11-D11))</f>
        <v>6</v>
      </c>
      <c r="K11" s="8">
        <f ca="1">G11-IFERROR(VLOOKUP($A11,'0530'!$A$1:'0530'!H$44,7,FALSE),IFERROR(VLOOKUP($C11,'0530'!$C$1:'0530'!H$44,5,FALSE),G11-E11))</f>
        <v>0</v>
      </c>
      <c r="L11" s="4">
        <f ca="1" t="shared" si="2"/>
        <v>0</v>
      </c>
    </row>
    <row r="12" s="2" customFormat="1" spans="1:12">
      <c r="A12" s="2" t="s">
        <v>156</v>
      </c>
      <c r="B12" s="2" t="s">
        <v>10</v>
      </c>
      <c r="C12" s="9">
        <v>45800</v>
      </c>
      <c r="D12" s="2">
        <v>2675</v>
      </c>
      <c r="E12" s="2">
        <v>91</v>
      </c>
      <c r="F12" s="2">
        <v>2826</v>
      </c>
      <c r="G12" s="2">
        <v>326</v>
      </c>
      <c r="H12" s="4">
        <f t="shared" si="0"/>
        <v>0.034018691588785</v>
      </c>
      <c r="I12" s="4">
        <f t="shared" si="1"/>
        <v>0.115357395612173</v>
      </c>
      <c r="J12" s="7">
        <f ca="1">F12-IFERROR(VLOOKUP($A12,'0530'!$A$1:'0530'!G$48,6,FALSE),IFERROR(VLOOKUP($C12,'0530'!$C$1:'0530'!G$48,4,FALSE),F12-D12))</f>
        <v>17</v>
      </c>
      <c r="K12" s="8">
        <f ca="1">G12-IFERROR(VLOOKUP($A12,'0530'!$A$1:'0530'!H$44,7,FALSE),IFERROR(VLOOKUP($C12,'0530'!$C$1:'0530'!H$44,5,FALSE),G12-E12))</f>
        <v>0</v>
      </c>
      <c r="L12" s="4">
        <f ca="1" t="shared" si="2"/>
        <v>0</v>
      </c>
    </row>
    <row r="13" s="2" customFormat="1" spans="1:12">
      <c r="A13" s="2" t="s">
        <v>151</v>
      </c>
      <c r="B13" s="2" t="s">
        <v>10</v>
      </c>
      <c r="C13" s="9">
        <v>45799</v>
      </c>
      <c r="D13" s="2">
        <v>50</v>
      </c>
      <c r="E13" s="2">
        <v>24</v>
      </c>
      <c r="F13" s="2">
        <v>155</v>
      </c>
      <c r="G13" s="2">
        <v>254</v>
      </c>
      <c r="H13" s="4">
        <f t="shared" si="0"/>
        <v>0.48</v>
      </c>
      <c r="I13" s="4">
        <f t="shared" si="1"/>
        <v>1.63870967741935</v>
      </c>
      <c r="J13" s="7">
        <f ca="1">F13-IFERROR(VLOOKUP($A13,'0530'!$A$1:'0530'!G$48,6,FALSE),IFERROR(VLOOKUP($C13,'0530'!$C$1:'0530'!G$48,4,FALSE),F13-D13))</f>
        <v>1</v>
      </c>
      <c r="K13" s="8">
        <f ca="1">G13-IFERROR(VLOOKUP($A13,'0530'!$A$1:'0530'!H$44,7,FALSE),IFERROR(VLOOKUP($C13,'0530'!$C$1:'0530'!H$44,5,FALSE),G13-E13))</f>
        <v>0</v>
      </c>
      <c r="L13" s="4">
        <f ca="1" t="shared" si="2"/>
        <v>0</v>
      </c>
    </row>
    <row r="14" s="2" customFormat="1" spans="1:14">
      <c r="A14" s="2" t="s">
        <v>148</v>
      </c>
      <c r="B14" s="2" t="s">
        <v>10</v>
      </c>
      <c r="C14" s="9">
        <v>45798</v>
      </c>
      <c r="D14" s="2">
        <v>63</v>
      </c>
      <c r="E14" s="2">
        <v>96</v>
      </c>
      <c r="F14" s="2">
        <v>250</v>
      </c>
      <c r="G14" s="2">
        <v>487</v>
      </c>
      <c r="H14" s="4">
        <f t="shared" si="0"/>
        <v>1.52380952380952</v>
      </c>
      <c r="I14" s="4">
        <f t="shared" si="1"/>
        <v>1.948</v>
      </c>
      <c r="J14" s="7">
        <f ca="1">F14-IFERROR(VLOOKUP($A14,'0530'!$A$1:'0530'!G$48,6,FALSE),IFERROR(VLOOKUP($C14,'0530'!$C$1:'0530'!G$48,4,FALSE),F14-D14))</f>
        <v>2</v>
      </c>
      <c r="K14" s="8">
        <f ca="1">G14-IFERROR(VLOOKUP($A14,'0530'!$A$1:'0530'!H$44,7,FALSE),IFERROR(VLOOKUP($C14,'0530'!$C$1:'0530'!H$44,5,FALSE),G14-E14))</f>
        <v>0</v>
      </c>
      <c r="L14" s="4">
        <f ca="1" t="shared" si="2"/>
        <v>0</v>
      </c>
      <c r="M14" s="2" t="s">
        <v>167</v>
      </c>
      <c r="N14" s="2" t="s">
        <v>174</v>
      </c>
    </row>
    <row r="15" s="2" customFormat="1" spans="1:12">
      <c r="A15" s="2" t="s">
        <v>149</v>
      </c>
      <c r="B15" s="2" t="s">
        <v>10</v>
      </c>
      <c r="C15" s="9">
        <v>45798</v>
      </c>
      <c r="D15" s="2">
        <v>50</v>
      </c>
      <c r="E15" s="2">
        <v>4</v>
      </c>
      <c r="F15" s="2">
        <v>252</v>
      </c>
      <c r="G15" s="2">
        <v>242</v>
      </c>
      <c r="H15" s="4">
        <f t="shared" si="0"/>
        <v>0.08</v>
      </c>
      <c r="I15" s="4">
        <f t="shared" si="1"/>
        <v>0.96031746031746</v>
      </c>
      <c r="J15" s="7">
        <f ca="1">F15-IFERROR(VLOOKUP($A15,'0530'!$A$1:'0530'!G$48,6,FALSE),IFERROR(VLOOKUP($C15,'0530'!$C$1:'0530'!G$48,4,FALSE),F15-D15))</f>
        <v>0</v>
      </c>
      <c r="K15" s="8">
        <f ca="1">G15-IFERROR(VLOOKUP($A15,'0530'!$A$1:'0530'!H$44,7,FALSE),IFERROR(VLOOKUP($C15,'0530'!$C$1:'0530'!H$44,5,FALSE),G15-E15))</f>
        <v>0</v>
      </c>
      <c r="L15" s="4">
        <f ca="1" t="shared" si="2"/>
        <v>0</v>
      </c>
    </row>
    <row r="16" s="2" customFormat="1" spans="1:14">
      <c r="A16" s="2" t="s">
        <v>146</v>
      </c>
      <c r="B16" s="2" t="s">
        <v>10</v>
      </c>
      <c r="C16" s="9">
        <v>45797</v>
      </c>
      <c r="D16" s="2">
        <v>290</v>
      </c>
      <c r="E16" s="2">
        <v>455</v>
      </c>
      <c r="F16" s="2">
        <v>429</v>
      </c>
      <c r="G16" s="2">
        <v>806</v>
      </c>
      <c r="H16" s="4">
        <f t="shared" si="0"/>
        <v>1.56896551724138</v>
      </c>
      <c r="I16" s="4">
        <f t="shared" si="1"/>
        <v>1.87878787878788</v>
      </c>
      <c r="J16" s="7">
        <f ca="1">F16-IFERROR(VLOOKUP($A16,'0530'!$A$1:'0530'!G$48,6,FALSE),IFERROR(VLOOKUP($C16,'0530'!$C$1:'0530'!G$48,4,FALSE),F16-D16))</f>
        <v>2</v>
      </c>
      <c r="K16" s="8">
        <f ca="1">G16-IFERROR(VLOOKUP($A16,'0530'!$A$1:'0530'!H$44,7,FALSE),IFERROR(VLOOKUP($C16,'0530'!$C$1:'0530'!H$44,5,FALSE),G16-E16))</f>
        <v>0</v>
      </c>
      <c r="L16" s="4">
        <f ca="1" t="shared" si="2"/>
        <v>0</v>
      </c>
      <c r="M16" s="2" t="s">
        <v>152</v>
      </c>
      <c r="N16" s="2" t="s">
        <v>178</v>
      </c>
    </row>
    <row r="17" s="2" customFormat="1" spans="1:14">
      <c r="A17" s="2" t="s">
        <v>142</v>
      </c>
      <c r="B17" s="2" t="s">
        <v>10</v>
      </c>
      <c r="C17" s="9">
        <v>45796</v>
      </c>
      <c r="D17" s="2">
        <v>29</v>
      </c>
      <c r="E17" s="2">
        <v>29</v>
      </c>
      <c r="F17" s="2">
        <v>165</v>
      </c>
      <c r="G17" s="2">
        <v>305</v>
      </c>
      <c r="H17" s="4">
        <f t="shared" si="0"/>
        <v>1</v>
      </c>
      <c r="I17" s="4">
        <f t="shared" si="1"/>
        <v>1.84848484848485</v>
      </c>
      <c r="J17" s="7">
        <f ca="1">F17-IFERROR(VLOOKUP($A17,'0530'!$A$1:'0530'!G$48,6,FALSE),IFERROR(VLOOKUP($C17,'0530'!$C$1:'0530'!G$48,4,FALSE),F17-D17))</f>
        <v>3</v>
      </c>
      <c r="K17" s="8">
        <f ca="1">G17-IFERROR(VLOOKUP($A17,'0530'!$A$1:'0530'!H$44,7,FALSE),IFERROR(VLOOKUP($C17,'0530'!$C$1:'0530'!H$44,5,FALSE),G17-E17))</f>
        <v>0</v>
      </c>
      <c r="L17" s="4">
        <f ca="1" t="shared" si="2"/>
        <v>0</v>
      </c>
      <c r="M17" s="2" t="s">
        <v>161</v>
      </c>
      <c r="N17" s="2" t="s">
        <v>168</v>
      </c>
    </row>
    <row r="18" s="2" customFormat="1" spans="1:12">
      <c r="A18" s="2" t="s">
        <v>130</v>
      </c>
      <c r="B18" s="2" t="s">
        <v>10</v>
      </c>
      <c r="C18" s="9">
        <v>45794</v>
      </c>
      <c r="D18" s="2">
        <v>2758</v>
      </c>
      <c r="E18" s="2">
        <v>1003</v>
      </c>
      <c r="F18" s="2">
        <v>40450</v>
      </c>
      <c r="G18" s="2">
        <v>12481</v>
      </c>
      <c r="H18" s="4">
        <f t="shared" si="0"/>
        <v>0.36366932559826</v>
      </c>
      <c r="I18" s="4">
        <f t="shared" si="1"/>
        <v>0.308553770086527</v>
      </c>
      <c r="J18" s="7">
        <f ca="1">F18-IFERROR(VLOOKUP($A18,'0530'!$A$1:'0530'!G$48,6,FALSE),IFERROR(VLOOKUP($C18,'0530'!$C$1:'0530'!G$48,4,FALSE),F18-D18))</f>
        <v>201</v>
      </c>
      <c r="K18" s="8">
        <f ca="1">G18-IFERROR(VLOOKUP($A18,'0530'!$A$1:'0530'!H$44,7,FALSE),IFERROR(VLOOKUP($C18,'0530'!$C$1:'0530'!H$44,5,FALSE),G18-E18))</f>
        <v>64</v>
      </c>
      <c r="L18" s="4">
        <f ca="1" t="shared" si="2"/>
        <v>0.318407960199005</v>
      </c>
    </row>
    <row r="19" s="2" customFormat="1" spans="1:12">
      <c r="A19" s="2" t="s">
        <v>120</v>
      </c>
      <c r="B19" s="2" t="s">
        <v>10</v>
      </c>
      <c r="C19" s="9">
        <v>45793</v>
      </c>
      <c r="D19" s="2">
        <v>62</v>
      </c>
      <c r="E19" s="2">
        <v>43</v>
      </c>
      <c r="F19" s="2">
        <v>304</v>
      </c>
      <c r="G19" s="2">
        <v>503</v>
      </c>
      <c r="H19" s="4">
        <f t="shared" si="0"/>
        <v>0.693548387096774</v>
      </c>
      <c r="I19" s="4">
        <f t="shared" si="1"/>
        <v>1.65460526315789</v>
      </c>
      <c r="J19" s="7">
        <f ca="1">F19-IFERROR(VLOOKUP($A19,'0530'!$A$1:'0530'!G$48,6,FALSE),IFERROR(VLOOKUP($C19,'0530'!$C$1:'0530'!G$48,4,FALSE),F19-D19))</f>
        <v>0</v>
      </c>
      <c r="K19" s="8">
        <f ca="1">G19-IFERROR(VLOOKUP($A19,'0530'!$A$1:'0530'!H$44,7,FALSE),IFERROR(VLOOKUP($C19,'0530'!$C$1:'0530'!H$44,5,FALSE),G19-E19))</f>
        <v>0</v>
      </c>
      <c r="L19" s="4">
        <f ca="1" t="shared" si="2"/>
        <v>0</v>
      </c>
    </row>
    <row r="20" s="2" customFormat="1" spans="1:13">
      <c r="A20" s="2" t="s">
        <v>115</v>
      </c>
      <c r="B20" s="2" t="s">
        <v>10</v>
      </c>
      <c r="C20" s="9">
        <v>45792</v>
      </c>
      <c r="D20" s="2">
        <v>33</v>
      </c>
      <c r="E20" s="2">
        <v>4</v>
      </c>
      <c r="F20" s="2">
        <v>281</v>
      </c>
      <c r="G20" s="2">
        <v>230</v>
      </c>
      <c r="H20" s="4">
        <f t="shared" si="0"/>
        <v>0.121212121212121</v>
      </c>
      <c r="I20" s="4">
        <f t="shared" si="1"/>
        <v>0.818505338078292</v>
      </c>
      <c r="J20" s="7">
        <f ca="1">F20-IFERROR(VLOOKUP($A20,'0530'!$A$1:'0530'!G$48,6,FALSE),IFERROR(VLOOKUP($C20,'0530'!$C$1:'0530'!G$48,4,FALSE),F20-D20))</f>
        <v>1</v>
      </c>
      <c r="K20" s="8">
        <f ca="1">G20-IFERROR(VLOOKUP($A20,'0530'!$A$1:'0530'!H$44,7,FALSE),IFERROR(VLOOKUP($C20,'0530'!$C$1:'0530'!H$44,5,FALSE),G20-E20))</f>
        <v>0</v>
      </c>
      <c r="L20" s="4">
        <f ca="1" t="shared" si="2"/>
        <v>0</v>
      </c>
      <c r="M20" s="2" t="s">
        <v>169</v>
      </c>
    </row>
    <row r="21" s="2" customFormat="1" spans="1:14">
      <c r="A21" s="2" t="s">
        <v>116</v>
      </c>
      <c r="B21" s="2" t="s">
        <v>10</v>
      </c>
      <c r="C21" s="9">
        <v>45792</v>
      </c>
      <c r="D21" s="2">
        <v>158</v>
      </c>
      <c r="E21" s="2">
        <v>70</v>
      </c>
      <c r="F21" s="2">
        <v>333</v>
      </c>
      <c r="G21" s="2">
        <v>788</v>
      </c>
      <c r="H21" s="4">
        <f t="shared" si="0"/>
        <v>0.443037974683544</v>
      </c>
      <c r="I21" s="4">
        <f t="shared" si="1"/>
        <v>2.36636636636637</v>
      </c>
      <c r="J21" s="7">
        <f ca="1">F21-IFERROR(VLOOKUP($A21,'0530'!$A$1:'0530'!G$48,6,FALSE),IFERROR(VLOOKUP($C21,'0530'!$C$1:'0530'!G$48,4,FALSE),F21-D21))</f>
        <v>18</v>
      </c>
      <c r="K21" s="8">
        <f ca="1">G21-IFERROR(VLOOKUP($A21,'0530'!$A$1:'0530'!H$44,7,FALSE),IFERROR(VLOOKUP($C21,'0530'!$C$1:'0530'!H$44,5,FALSE),G21-E21))</f>
        <v>0</v>
      </c>
      <c r="L21" s="4">
        <f ca="1" t="shared" si="2"/>
        <v>0</v>
      </c>
      <c r="M21" s="2" t="s">
        <v>133</v>
      </c>
      <c r="N21" s="2" t="s">
        <v>170</v>
      </c>
    </row>
    <row r="22" s="2" customFormat="1" spans="1:13">
      <c r="A22" s="2" t="s">
        <v>93</v>
      </c>
      <c r="B22" s="2" t="s">
        <v>10</v>
      </c>
      <c r="C22" s="9">
        <v>45786</v>
      </c>
      <c r="D22" s="2">
        <v>73</v>
      </c>
      <c r="E22" s="2">
        <v>12</v>
      </c>
      <c r="F22" s="2">
        <v>415</v>
      </c>
      <c r="G22" s="2">
        <v>299</v>
      </c>
      <c r="H22" s="4">
        <f t="shared" si="0"/>
        <v>0.164383561643836</v>
      </c>
      <c r="I22" s="4">
        <f t="shared" si="1"/>
        <v>0.720481927710843</v>
      </c>
      <c r="J22" s="7">
        <f ca="1">F22-IFERROR(VLOOKUP($A22,'0530'!$A$1:'0530'!G$48,6,FALSE),IFERROR(VLOOKUP($C22,'0530'!$C$1:'0530'!G$48,4,FALSE),F22-D22))</f>
        <v>7</v>
      </c>
      <c r="K22" s="8">
        <f ca="1">G22-IFERROR(VLOOKUP($A22,'0530'!$A$1:'0530'!H$44,7,FALSE),IFERROR(VLOOKUP($C22,'0530'!$C$1:'0530'!H$44,5,FALSE),G22-E22))</f>
        <v>0</v>
      </c>
      <c r="L22" s="4">
        <f ca="1" t="shared" si="2"/>
        <v>0</v>
      </c>
      <c r="M22" s="2" t="s">
        <v>175</v>
      </c>
    </row>
    <row r="23" s="2" customFormat="1" spans="1:12">
      <c r="A23" s="2" t="s">
        <v>134</v>
      </c>
      <c r="B23" s="2" t="s">
        <v>10</v>
      </c>
      <c r="C23" s="9">
        <v>45780</v>
      </c>
      <c r="D23" s="2">
        <v>4158</v>
      </c>
      <c r="E23" s="2">
        <v>113</v>
      </c>
      <c r="F23" s="2">
        <v>5922</v>
      </c>
      <c r="G23" s="2">
        <v>711</v>
      </c>
      <c r="H23" s="4">
        <f t="shared" si="0"/>
        <v>0.0271765271765272</v>
      </c>
      <c r="I23" s="4">
        <f t="shared" si="1"/>
        <v>0.120060790273556</v>
      </c>
      <c r="J23" s="7">
        <f ca="1">F23-IFERROR(VLOOKUP($A23,'0530'!$A$1:'0530'!G$48,6,FALSE),IFERROR(VLOOKUP($C23,'0530'!$C$1:'0530'!G$48,4,FALSE),F23-D23))</f>
        <v>289</v>
      </c>
      <c r="K23" s="8">
        <f ca="1">G23-IFERROR(VLOOKUP($A23,'0530'!$A$1:'0530'!H$44,7,FALSE),IFERROR(VLOOKUP($C23,'0530'!$C$1:'0530'!H$44,5,FALSE),G23-E23))</f>
        <v>30</v>
      </c>
      <c r="L23" s="4">
        <f ca="1" t="shared" si="2"/>
        <v>0.103806228373702</v>
      </c>
    </row>
    <row r="24" s="2" customFormat="1" spans="1:13">
      <c r="A24" s="2" t="s">
        <v>73</v>
      </c>
      <c r="B24" s="2" t="s">
        <v>10</v>
      </c>
      <c r="C24" s="9">
        <v>45755</v>
      </c>
      <c r="D24" s="2">
        <v>6</v>
      </c>
      <c r="E24" s="2">
        <v>6</v>
      </c>
      <c r="F24" s="2">
        <v>490</v>
      </c>
      <c r="G24" s="2">
        <v>532</v>
      </c>
      <c r="H24" s="4">
        <f t="shared" si="0"/>
        <v>1</v>
      </c>
      <c r="I24" s="4">
        <f t="shared" si="1"/>
        <v>1.08571428571429</v>
      </c>
      <c r="J24" s="7">
        <f ca="1">F24-IFERROR(VLOOKUP($A24,'0530'!$A$1:'0530'!G$48,6,FALSE),IFERROR(VLOOKUP($C24,'0530'!$C$1:'0530'!G$48,4,FALSE),F24-D24))</f>
        <v>1</v>
      </c>
      <c r="K24" s="8">
        <f ca="1">G24-IFERROR(VLOOKUP($A24,'0530'!$A$1:'0530'!H$44,7,FALSE),IFERROR(VLOOKUP($C24,'0530'!$C$1:'0530'!H$44,5,FALSE),G24-E24))</f>
        <v>0</v>
      </c>
      <c r="L24" s="4">
        <f ca="1" t="shared" si="2"/>
        <v>0</v>
      </c>
      <c r="M24" s="2" t="s">
        <v>181</v>
      </c>
    </row>
    <row r="25" s="2" customFormat="1" spans="1:13">
      <c r="A25" s="2" t="s">
        <v>52</v>
      </c>
      <c r="B25" s="2" t="s">
        <v>10</v>
      </c>
      <c r="C25" s="9">
        <v>45743</v>
      </c>
      <c r="D25" s="2">
        <v>127</v>
      </c>
      <c r="E25" s="2">
        <v>30</v>
      </c>
      <c r="F25" s="2">
        <v>5385</v>
      </c>
      <c r="G25" s="2">
        <v>2121</v>
      </c>
      <c r="H25" s="4">
        <f t="shared" si="0"/>
        <v>0.236220472440945</v>
      </c>
      <c r="I25" s="4">
        <f t="shared" si="1"/>
        <v>0.393871866295265</v>
      </c>
      <c r="J25" s="7">
        <f ca="1">F25-IFERROR(VLOOKUP($A25,'0530'!$A$1:'0530'!G$48,6,FALSE),IFERROR(VLOOKUP($C25,'0530'!$C$1:'0530'!G$48,4,FALSE),F25-D25))</f>
        <v>9</v>
      </c>
      <c r="K25" s="8">
        <f ca="1">G25-IFERROR(VLOOKUP($A25,'0530'!$A$1:'0530'!H$44,7,FALSE),IFERROR(VLOOKUP($C25,'0530'!$C$1:'0530'!H$44,5,FALSE),G25-E25))</f>
        <v>0</v>
      </c>
      <c r="L25" s="4">
        <f ca="1" t="shared" si="2"/>
        <v>0</v>
      </c>
      <c r="M25" s="2" t="s">
        <v>159</v>
      </c>
    </row>
    <row r="26" s="2" customFormat="1" spans="1:13">
      <c r="A26" s="2" t="s">
        <v>123</v>
      </c>
      <c r="B26" s="2" t="s">
        <v>10</v>
      </c>
      <c r="C26" s="9">
        <v>45685</v>
      </c>
      <c r="D26" s="2">
        <v>127</v>
      </c>
      <c r="E26" s="2">
        <v>9</v>
      </c>
      <c r="F26" s="2">
        <v>306</v>
      </c>
      <c r="G26" s="2">
        <v>533</v>
      </c>
      <c r="H26" s="4">
        <f t="shared" si="0"/>
        <v>0.0708661417322835</v>
      </c>
      <c r="I26" s="4">
        <f t="shared" si="1"/>
        <v>1.74183006535948</v>
      </c>
      <c r="J26" s="7">
        <f ca="1">F26-IFERROR(VLOOKUP($A26,'0530'!$A$1:'0530'!G$48,6,FALSE),IFERROR(VLOOKUP($C26,'0530'!$C$1:'0530'!G$48,4,FALSE),F26-D26))</f>
        <v>13</v>
      </c>
      <c r="K26" s="8">
        <f ca="1">G26-IFERROR(VLOOKUP($A26,'0530'!$A$1:'0530'!H$44,7,FALSE),IFERROR(VLOOKUP($C26,'0530'!$C$1:'0530'!H$44,5,FALSE),G26-E26))</f>
        <v>0</v>
      </c>
      <c r="L26" s="4">
        <f ca="1" t="shared" si="2"/>
        <v>0</v>
      </c>
      <c r="M26" s="2" t="s">
        <v>162</v>
      </c>
    </row>
    <row r="27" s="2" customFormat="1" spans="1:13">
      <c r="A27" s="2" t="s">
        <v>127</v>
      </c>
      <c r="B27" s="2" t="s">
        <v>10</v>
      </c>
      <c r="C27" s="9">
        <v>45547</v>
      </c>
      <c r="D27" s="2">
        <v>51</v>
      </c>
      <c r="E27" s="2">
        <v>1</v>
      </c>
      <c r="F27" s="2">
        <v>9154</v>
      </c>
      <c r="G27" s="2">
        <v>2510</v>
      </c>
      <c r="H27" s="4">
        <f t="shared" si="0"/>
        <v>0.0196078431372549</v>
      </c>
      <c r="I27" s="4">
        <f t="shared" si="1"/>
        <v>0.274197072318112</v>
      </c>
      <c r="J27" s="7">
        <f ca="1">F27-IFERROR(VLOOKUP($A27,'0530'!$A$1:'0530'!G$48,6,FALSE),IFERROR(VLOOKUP($C27,'0530'!$C$1:'0530'!G$48,4,FALSE),F27-D27))</f>
        <v>3</v>
      </c>
      <c r="K27" s="8">
        <f ca="1">G27-IFERROR(VLOOKUP($A27,'0530'!$A$1:'0530'!H$44,7,FALSE),IFERROR(VLOOKUP($C27,'0530'!$C$1:'0530'!H$44,5,FALSE),G27-E27))</f>
        <v>0</v>
      </c>
      <c r="L27" s="4">
        <f ca="1" t="shared" si="2"/>
        <v>0</v>
      </c>
      <c r="M27" s="2" t="s">
        <v>163</v>
      </c>
    </row>
    <row r="28" spans="11:11">
      <c r="K28" s="2">
        <f ca="1">SUM(K2:K27)</f>
        <v>433</v>
      </c>
    </row>
    <row r="34" spans="8:12">
      <c r="H34" s="10">
        <v>2.08823529411765</v>
      </c>
      <c r="I34" s="10">
        <v>6.54054054054054</v>
      </c>
      <c r="J34" s="11">
        <v>2</v>
      </c>
      <c r="K34" s="11">
        <v>0</v>
      </c>
      <c r="L34" s="10">
        <v>0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tabSelected="1" workbookViewId="0">
      <selection activeCell="A11" sqref="$A11:$XFD11"/>
    </sheetView>
  </sheetViews>
  <sheetFormatPr defaultColWidth="10" defaultRowHeight="14.4"/>
  <cols>
    <col min="1" max="1" width="57" style="1" customWidth="1"/>
    <col min="2" max="2" width="10" style="1" hidden="1" customWidth="1"/>
    <col min="3" max="3" width="10" style="1"/>
    <col min="4" max="7" width="6.11111111111111" style="1" customWidth="1"/>
    <col min="8" max="9" width="6.77777777777778" style="2" customWidth="1"/>
    <col min="10" max="10" width="7.66666666666667" style="2" customWidth="1"/>
    <col min="11" max="12" width="6.77777777777778" style="2" customWidth="1"/>
    <col min="13" max="13" width="20.3333333333333" style="2" customWidth="1"/>
    <col min="14" max="14" width="19.1111111111111" style="2" customWidth="1"/>
    <col min="15" max="16384" width="10" style="1"/>
  </cols>
  <sheetData>
    <row r="1" s="1" customForma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5" t="s">
        <v>7</v>
      </c>
      <c r="K1" s="5" t="s">
        <v>8</v>
      </c>
      <c r="L1" s="2"/>
      <c r="M1" s="6" t="s">
        <v>157</v>
      </c>
      <c r="N1" s="2"/>
    </row>
    <row r="2" s="1" customFormat="1" spans="1:14">
      <c r="A2" s="1" t="s">
        <v>185</v>
      </c>
      <c r="B2" s="1" t="s">
        <v>10</v>
      </c>
      <c r="C2" s="3">
        <v>45808</v>
      </c>
      <c r="D2" s="1">
        <v>87</v>
      </c>
      <c r="E2" s="1">
        <v>131</v>
      </c>
      <c r="F2" s="1">
        <v>87</v>
      </c>
      <c r="G2" s="1">
        <v>131</v>
      </c>
      <c r="H2" s="4">
        <f>E2/D2</f>
        <v>1.50574712643678</v>
      </c>
      <c r="I2" s="4">
        <f>G2/F2</f>
        <v>1.50574712643678</v>
      </c>
      <c r="J2" s="7">
        <f ca="1">F2-IFERROR(VLOOKUP($A2,'0531'!$A$1:'0531'!G$48,6,FALSE),IFERROR(VLOOKUP($C2,'0531'!$C$1:'0531'!G$48,4,FALSE),F2-D2))</f>
        <v>87</v>
      </c>
      <c r="K2" s="8">
        <f ca="1">G2-IFERROR(VLOOKUP($A2,'0531'!$A$1:'0531'!H$44,7,FALSE),IFERROR(VLOOKUP($C2,'0531'!$C$1:'0531'!H$44,5,FALSE),G2-E2))</f>
        <v>131</v>
      </c>
      <c r="L2" s="4">
        <f ca="1">IFERROR(K2/J2,)</f>
        <v>1.50574712643678</v>
      </c>
      <c r="M2" s="6" t="s">
        <v>186</v>
      </c>
      <c r="N2" s="2"/>
    </row>
    <row r="3" s="1" customFormat="1" spans="1:14">
      <c r="A3" s="1" t="s">
        <v>187</v>
      </c>
      <c r="B3" s="1" t="s">
        <v>10</v>
      </c>
      <c r="C3" s="3">
        <v>45808</v>
      </c>
      <c r="D3" s="1">
        <v>76</v>
      </c>
      <c r="E3" s="1">
        <v>136</v>
      </c>
      <c r="F3" s="1">
        <v>76</v>
      </c>
      <c r="G3" s="1">
        <v>136</v>
      </c>
      <c r="H3" s="4">
        <f t="shared" ref="H3:H32" si="0">E3/D3</f>
        <v>1.78947368421053</v>
      </c>
      <c r="I3" s="4">
        <f t="shared" ref="I3:I32" si="1">G3/F3</f>
        <v>1.78947368421053</v>
      </c>
      <c r="J3" s="7">
        <f ca="1">F3-IFERROR(VLOOKUP($A3,'0531'!$A$1:'0531'!G$48,6,FALSE),IFERROR(VLOOKUP($C3,'0531'!$C$1:'0531'!G$48,4,FALSE),F3-D3))</f>
        <v>76</v>
      </c>
      <c r="K3" s="8">
        <f ca="1">G3-IFERROR(VLOOKUP($A3,'0531'!$A$1:'0531'!H$44,7,FALSE),IFERROR(VLOOKUP($C3,'0531'!$C$1:'0531'!H$44,5,FALSE),G3-E3))</f>
        <v>136</v>
      </c>
      <c r="L3" s="4">
        <f ca="1" t="shared" ref="L3:L32" si="2">IFERROR(K3/J3,)</f>
        <v>1.78947368421053</v>
      </c>
      <c r="M3" s="6"/>
      <c r="N3" s="2"/>
    </row>
    <row r="4" s="1" customFormat="1" spans="1:14">
      <c r="A4" s="1" t="s">
        <v>182</v>
      </c>
      <c r="B4" s="1" t="s">
        <v>10</v>
      </c>
      <c r="C4" s="3">
        <v>45807</v>
      </c>
      <c r="D4" s="1">
        <v>56</v>
      </c>
      <c r="E4" s="1">
        <v>126</v>
      </c>
      <c r="F4" s="1">
        <v>56</v>
      </c>
      <c r="G4" s="1">
        <v>126</v>
      </c>
      <c r="H4" s="4">
        <f t="shared" si="0"/>
        <v>2.25</v>
      </c>
      <c r="I4" s="4">
        <f t="shared" si="1"/>
        <v>2.25</v>
      </c>
      <c r="J4" s="7">
        <f ca="1">F4-IFERROR(VLOOKUP($A4,'0531'!$A$1:'0531'!G$48,6,FALSE),IFERROR(VLOOKUP($C4,'0531'!$C$1:'0531'!G$48,4,FALSE),F4-D4))</f>
        <v>18</v>
      </c>
      <c r="K4" s="8">
        <f ca="1">G4-IFERROR(VLOOKUP($A4,'0531'!$A$1:'0531'!H$44,7,FALSE),IFERROR(VLOOKUP($C4,'0531'!$C$1:'0531'!H$44,5,FALSE),G4-E4))</f>
        <v>0</v>
      </c>
      <c r="L4" s="4">
        <f ca="1" t="shared" si="2"/>
        <v>0</v>
      </c>
      <c r="M4" s="6" t="s">
        <v>183</v>
      </c>
      <c r="N4" s="2"/>
    </row>
    <row r="5" s="1" customFormat="1" spans="1:14">
      <c r="A5" s="1" t="s">
        <v>179</v>
      </c>
      <c r="B5" s="1" t="s">
        <v>10</v>
      </c>
      <c r="C5" s="3">
        <v>45806</v>
      </c>
      <c r="D5" s="1">
        <v>340</v>
      </c>
      <c r="E5" s="1">
        <v>462</v>
      </c>
      <c r="F5" s="1">
        <v>340</v>
      </c>
      <c r="G5" s="1">
        <v>462</v>
      </c>
      <c r="H5" s="4">
        <f t="shared" si="0"/>
        <v>1.35882352941176</v>
      </c>
      <c r="I5" s="4">
        <f t="shared" si="1"/>
        <v>1.35882352941176</v>
      </c>
      <c r="J5" s="7">
        <f ca="1">F5-IFERROR(VLOOKUP($A5,'0531'!$A$1:'0531'!G$48,6,FALSE),IFERROR(VLOOKUP($C5,'0531'!$C$1:'0531'!G$48,4,FALSE),F5-D5))</f>
        <v>169</v>
      </c>
      <c r="K5" s="8">
        <f ca="1">G5-IFERROR(VLOOKUP($A5,'0531'!$A$1:'0531'!H$44,7,FALSE),IFERROR(VLOOKUP($C5,'0531'!$C$1:'0531'!H$44,5,FALSE),G5-E5))</f>
        <v>28</v>
      </c>
      <c r="L5" s="4">
        <f ca="1" t="shared" si="2"/>
        <v>0.165680473372781</v>
      </c>
      <c r="M5" s="6"/>
      <c r="N5" s="2"/>
    </row>
    <row r="6" s="1" customFormat="1" spans="1:14">
      <c r="A6" s="1" t="s">
        <v>180</v>
      </c>
      <c r="B6" s="1" t="s">
        <v>10</v>
      </c>
      <c r="C6" s="3">
        <v>45806</v>
      </c>
      <c r="D6" s="1">
        <v>146</v>
      </c>
      <c r="E6" s="1">
        <v>298</v>
      </c>
      <c r="F6" s="1">
        <v>146</v>
      </c>
      <c r="G6" s="1">
        <v>298</v>
      </c>
      <c r="H6" s="4">
        <f t="shared" si="0"/>
        <v>2.04109589041096</v>
      </c>
      <c r="I6" s="4">
        <f t="shared" si="1"/>
        <v>2.04109589041096</v>
      </c>
      <c r="J6" s="7">
        <f ca="1">F6-IFERROR(VLOOKUP($A6,'0531'!$A$1:'0531'!G$48,6,FALSE),IFERROR(VLOOKUP($C6,'0531'!$C$1:'0531'!G$48,4,FALSE),F6-D6))</f>
        <v>17</v>
      </c>
      <c r="K6" s="8">
        <f ca="1">G6-IFERROR(VLOOKUP($A6,'0531'!$A$1:'0531'!H$44,7,FALSE),IFERROR(VLOOKUP($C6,'0531'!$C$1:'0531'!H$44,5,FALSE),G6-E6))</f>
        <v>43</v>
      </c>
      <c r="L6" s="4">
        <f ca="1" t="shared" si="2"/>
        <v>2.52941176470588</v>
      </c>
      <c r="M6" s="6"/>
      <c r="N6" s="2"/>
    </row>
    <row r="7" s="1" customFormat="1" spans="1:14">
      <c r="A7" s="1" t="s">
        <v>176</v>
      </c>
      <c r="B7" s="1" t="s">
        <v>10</v>
      </c>
      <c r="C7" s="3">
        <v>45805</v>
      </c>
      <c r="D7" s="1">
        <v>300</v>
      </c>
      <c r="E7" s="1">
        <v>394</v>
      </c>
      <c r="F7" s="1">
        <v>300</v>
      </c>
      <c r="G7" s="1">
        <v>394</v>
      </c>
      <c r="H7" s="4">
        <f t="shared" si="0"/>
        <v>1.31333333333333</v>
      </c>
      <c r="I7" s="4">
        <f t="shared" si="1"/>
        <v>1.31333333333333</v>
      </c>
      <c r="J7" s="7">
        <f ca="1">F7-IFERROR(VLOOKUP($A7,'0531'!$A$1:'0531'!G$48,6,FALSE),IFERROR(VLOOKUP($C7,'0531'!$C$1:'0531'!G$48,4,FALSE),F7-D7))</f>
        <v>13</v>
      </c>
      <c r="K7" s="8">
        <f ca="1">G7-IFERROR(VLOOKUP($A7,'0531'!$A$1:'0531'!H$44,7,FALSE),IFERROR(VLOOKUP($C7,'0531'!$C$1:'0531'!H$44,5,FALSE),G7-E7))</f>
        <v>0</v>
      </c>
      <c r="L7" s="4">
        <f ca="1" t="shared" si="2"/>
        <v>0</v>
      </c>
      <c r="M7" s="6"/>
      <c r="N7" s="2"/>
    </row>
    <row r="8" s="1" customFormat="1" spans="1:14">
      <c r="A8" s="1" t="s">
        <v>171</v>
      </c>
      <c r="B8" s="1" t="s">
        <v>10</v>
      </c>
      <c r="C8" s="3">
        <v>45804</v>
      </c>
      <c r="D8" s="1">
        <v>121</v>
      </c>
      <c r="E8" s="1">
        <v>425</v>
      </c>
      <c r="F8" s="1">
        <v>121</v>
      </c>
      <c r="G8" s="1">
        <v>425</v>
      </c>
      <c r="H8" s="4">
        <f t="shared" si="0"/>
        <v>3.51239669421488</v>
      </c>
      <c r="I8" s="4">
        <f t="shared" si="1"/>
        <v>3.51239669421488</v>
      </c>
      <c r="J8" s="7">
        <f ca="1">F8-IFERROR(VLOOKUP($A8,'0531'!$A$1:'0531'!G$48,6,FALSE),IFERROR(VLOOKUP($C8,'0531'!$C$1:'0531'!G$48,4,FALSE),F8-D8))</f>
        <v>10</v>
      </c>
      <c r="K8" s="8">
        <f ca="1">G8-IFERROR(VLOOKUP($A8,'0531'!$A$1:'0531'!H$44,7,FALSE),IFERROR(VLOOKUP($C8,'0531'!$C$1:'0531'!H$44,5,FALSE),G8-E8))</f>
        <v>4</v>
      </c>
      <c r="L8" s="4">
        <f ca="1" t="shared" si="2"/>
        <v>0.4</v>
      </c>
      <c r="M8" s="6" t="s">
        <v>184</v>
      </c>
      <c r="N8" s="2"/>
    </row>
    <row r="9" s="1" customFormat="1" spans="1:14">
      <c r="A9" s="1" t="s">
        <v>172</v>
      </c>
      <c r="B9" s="1" t="s">
        <v>10</v>
      </c>
      <c r="C9" s="3">
        <v>45804</v>
      </c>
      <c r="D9" s="1">
        <v>176</v>
      </c>
      <c r="E9" s="1">
        <v>490</v>
      </c>
      <c r="F9" s="1">
        <v>176</v>
      </c>
      <c r="G9" s="1">
        <v>490</v>
      </c>
      <c r="H9" s="4">
        <f t="shared" si="0"/>
        <v>2.78409090909091</v>
      </c>
      <c r="I9" s="4">
        <f t="shared" si="1"/>
        <v>2.78409090909091</v>
      </c>
      <c r="J9" s="7">
        <f ca="1">F9-IFERROR(VLOOKUP($A9,'0531'!$A$1:'0531'!G$48,6,FALSE),IFERROR(VLOOKUP($C9,'0531'!$C$1:'0531'!G$48,4,FALSE),F9-D9))</f>
        <v>13</v>
      </c>
      <c r="K9" s="8">
        <f ca="1">G9-IFERROR(VLOOKUP($A9,'0531'!$A$1:'0531'!H$44,7,FALSE),IFERROR(VLOOKUP($C9,'0531'!$C$1:'0531'!H$44,5,FALSE),G9-E9))</f>
        <v>122</v>
      </c>
      <c r="L9" s="4">
        <f ca="1" t="shared" si="2"/>
        <v>9.38461538461539</v>
      </c>
      <c r="M9" s="6" t="s">
        <v>177</v>
      </c>
      <c r="N9" s="2"/>
    </row>
    <row r="10" s="1" customFormat="1" spans="1:14">
      <c r="A10" s="1" t="s">
        <v>164</v>
      </c>
      <c r="B10" s="1" t="s">
        <v>10</v>
      </c>
      <c r="C10" s="3">
        <v>45803</v>
      </c>
      <c r="D10" s="1">
        <v>175</v>
      </c>
      <c r="E10" s="1">
        <v>469</v>
      </c>
      <c r="F10" s="1">
        <v>175</v>
      </c>
      <c r="G10" s="1">
        <v>469</v>
      </c>
      <c r="H10" s="4">
        <f t="shared" si="0"/>
        <v>2.68</v>
      </c>
      <c r="I10" s="4">
        <f t="shared" si="1"/>
        <v>2.68</v>
      </c>
      <c r="J10" s="7">
        <f ca="1">F10-IFERROR(VLOOKUP($A10,'0531'!$A$1:'0531'!G$48,6,FALSE),IFERROR(VLOOKUP($C10,'0531'!$C$1:'0531'!G$48,4,FALSE),F10-D10))</f>
        <v>8</v>
      </c>
      <c r="K10" s="8">
        <f ca="1">G10-IFERROR(VLOOKUP($A10,'0531'!$A$1:'0531'!H$44,7,FALSE),IFERROR(VLOOKUP($C10,'0531'!$C$1:'0531'!H$44,5,FALSE),G10-E10))</f>
        <v>21</v>
      </c>
      <c r="L10" s="4">
        <f ca="1" t="shared" si="2"/>
        <v>2.625</v>
      </c>
      <c r="M10" s="6"/>
      <c r="N10" s="2"/>
    </row>
    <row r="11" s="1" customFormat="1" spans="1:14">
      <c r="A11" s="1" t="s">
        <v>165</v>
      </c>
      <c r="B11" s="1" t="s">
        <v>10</v>
      </c>
      <c r="C11" s="3">
        <v>45803</v>
      </c>
      <c r="D11" s="1">
        <v>466</v>
      </c>
      <c r="E11" s="1">
        <v>468</v>
      </c>
      <c r="F11" s="1">
        <v>466</v>
      </c>
      <c r="G11" s="1">
        <v>468</v>
      </c>
      <c r="H11" s="4">
        <f t="shared" si="0"/>
        <v>1.00429184549356</v>
      </c>
      <c r="I11" s="4">
        <f t="shared" si="1"/>
        <v>1.00429184549356</v>
      </c>
      <c r="J11" s="7">
        <f ca="1">F11-IFERROR(VLOOKUP($A11,'0531'!$A$1:'0531'!G$48,6,FALSE),IFERROR(VLOOKUP($C11,'0531'!$C$1:'0531'!G$48,4,FALSE),F11-D11))</f>
        <v>2</v>
      </c>
      <c r="K11" s="8">
        <f ca="1">G11-IFERROR(VLOOKUP($A11,'0531'!$A$1:'0531'!H$44,7,FALSE),IFERROR(VLOOKUP($C11,'0531'!$C$1:'0531'!H$44,5,FALSE),G11-E11))</f>
        <v>8</v>
      </c>
      <c r="L11" s="4">
        <f ca="1" t="shared" si="2"/>
        <v>4</v>
      </c>
      <c r="M11" s="6" t="s">
        <v>166</v>
      </c>
      <c r="N11" s="2"/>
    </row>
    <row r="12" s="1" customFormat="1" spans="1:14">
      <c r="A12" s="1" t="s">
        <v>160</v>
      </c>
      <c r="B12" s="1" t="s">
        <v>10</v>
      </c>
      <c r="C12" s="3">
        <v>45802</v>
      </c>
      <c r="D12" s="1">
        <v>143</v>
      </c>
      <c r="E12" s="1">
        <v>353</v>
      </c>
      <c r="F12" s="1">
        <v>143</v>
      </c>
      <c r="G12" s="1">
        <v>353</v>
      </c>
      <c r="H12" s="4">
        <f t="shared" si="0"/>
        <v>2.46853146853147</v>
      </c>
      <c r="I12" s="4">
        <f t="shared" si="1"/>
        <v>2.46853146853147</v>
      </c>
      <c r="J12" s="7">
        <f ca="1">F12-IFERROR(VLOOKUP($A12,'0531'!$A$1:'0531'!G$48,6,FALSE),IFERROR(VLOOKUP($C12,'0531'!$C$1:'0531'!G$48,4,FALSE),F12-D12))</f>
        <v>11</v>
      </c>
      <c r="K12" s="8">
        <f ca="1">G12-IFERROR(VLOOKUP($A12,'0531'!$A$1:'0531'!H$44,7,FALSE),IFERROR(VLOOKUP($C12,'0531'!$C$1:'0531'!H$44,5,FALSE),G12-E12))</f>
        <v>30</v>
      </c>
      <c r="L12" s="4">
        <f ca="1" t="shared" si="2"/>
        <v>2.72727272727273</v>
      </c>
      <c r="M12" s="6" t="s">
        <v>173</v>
      </c>
      <c r="N12" s="2"/>
    </row>
    <row r="13" s="1" customFormat="1" spans="1:14">
      <c r="A13" s="1" t="s">
        <v>158</v>
      </c>
      <c r="B13" s="1" t="s">
        <v>10</v>
      </c>
      <c r="C13" s="3">
        <v>45801</v>
      </c>
      <c r="D13" s="1">
        <v>233</v>
      </c>
      <c r="E13" s="1">
        <v>192</v>
      </c>
      <c r="F13" s="1">
        <v>329</v>
      </c>
      <c r="G13" s="1">
        <v>440</v>
      </c>
      <c r="H13" s="4">
        <f t="shared" si="0"/>
        <v>0.824034334763948</v>
      </c>
      <c r="I13" s="4">
        <f t="shared" si="1"/>
        <v>1.33738601823708</v>
      </c>
      <c r="J13" s="7">
        <f ca="1">F13-IFERROR(VLOOKUP($A13,'0531'!$A$1:'0531'!G$48,6,FALSE),IFERROR(VLOOKUP($C13,'0531'!$C$1:'0531'!G$48,4,FALSE),F13-D13))</f>
        <v>3</v>
      </c>
      <c r="K13" s="8">
        <f ca="1">G13-IFERROR(VLOOKUP($A13,'0531'!$A$1:'0531'!H$44,7,FALSE),IFERROR(VLOOKUP($C13,'0531'!$C$1:'0531'!H$44,5,FALSE),G13-E13))</f>
        <v>0</v>
      </c>
      <c r="L13" s="4">
        <f ca="1" t="shared" si="2"/>
        <v>0</v>
      </c>
      <c r="M13" s="2"/>
      <c r="N13" s="2"/>
    </row>
    <row r="14" s="1" customFormat="1" spans="1:14">
      <c r="A14" s="1" t="s">
        <v>156</v>
      </c>
      <c r="B14" s="1" t="s">
        <v>10</v>
      </c>
      <c r="C14" s="3">
        <v>45800</v>
      </c>
      <c r="D14" s="1">
        <v>2616</v>
      </c>
      <c r="E14" s="1">
        <v>78</v>
      </c>
      <c r="F14" s="1">
        <v>2829</v>
      </c>
      <c r="G14" s="1">
        <v>330</v>
      </c>
      <c r="H14" s="4">
        <f t="shared" si="0"/>
        <v>0.0298165137614679</v>
      </c>
      <c r="I14" s="4">
        <f t="shared" si="1"/>
        <v>0.116648992576882</v>
      </c>
      <c r="J14" s="7">
        <f ca="1">F14-IFERROR(VLOOKUP($A14,'0531'!$A$1:'0531'!G$48,6,FALSE),IFERROR(VLOOKUP($C14,'0531'!$C$1:'0531'!G$48,4,FALSE),F14-D14))</f>
        <v>3</v>
      </c>
      <c r="K14" s="8">
        <f ca="1">G14-IFERROR(VLOOKUP($A14,'0531'!$A$1:'0531'!H$44,7,FALSE),IFERROR(VLOOKUP($C14,'0531'!$C$1:'0531'!H$44,5,FALSE),G14-E14))</f>
        <v>4</v>
      </c>
      <c r="L14" s="4">
        <f ca="1" t="shared" si="2"/>
        <v>1.33333333333333</v>
      </c>
      <c r="M14" s="2"/>
      <c r="N14" s="2"/>
    </row>
    <row r="15" s="1" customFormat="1" spans="1:14">
      <c r="A15" s="1" t="s">
        <v>151</v>
      </c>
      <c r="B15" s="1" t="s">
        <v>10</v>
      </c>
      <c r="C15" s="3">
        <v>45799</v>
      </c>
      <c r="D15" s="1">
        <v>30</v>
      </c>
      <c r="E15" s="1">
        <v>24</v>
      </c>
      <c r="F15" s="1">
        <v>156</v>
      </c>
      <c r="G15" s="1">
        <v>254</v>
      </c>
      <c r="H15" s="4">
        <f t="shared" si="0"/>
        <v>0.8</v>
      </c>
      <c r="I15" s="4">
        <f t="shared" si="1"/>
        <v>1.62820512820513</v>
      </c>
      <c r="J15" s="7">
        <f ca="1">F15-IFERROR(VLOOKUP($A15,'0531'!$A$1:'0531'!G$48,6,FALSE),IFERROR(VLOOKUP($C15,'0531'!$C$1:'0531'!G$48,4,FALSE),F15-D15))</f>
        <v>1</v>
      </c>
      <c r="K15" s="8">
        <f ca="1">G15-IFERROR(VLOOKUP($A15,'0531'!$A$1:'0531'!H$44,7,FALSE),IFERROR(VLOOKUP($C15,'0531'!$C$1:'0531'!H$44,5,FALSE),G15-E15))</f>
        <v>0</v>
      </c>
      <c r="L15" s="4">
        <f ca="1" t="shared" si="2"/>
        <v>0</v>
      </c>
      <c r="M15" s="2"/>
      <c r="N15" s="2"/>
    </row>
    <row r="16" s="1" customFormat="1" spans="1:14">
      <c r="A16" s="1" t="s">
        <v>148</v>
      </c>
      <c r="B16" s="1" t="s">
        <v>10</v>
      </c>
      <c r="C16" s="3">
        <v>45798</v>
      </c>
      <c r="D16" s="1">
        <v>62</v>
      </c>
      <c r="E16" s="1">
        <v>90</v>
      </c>
      <c r="F16" s="1">
        <v>258</v>
      </c>
      <c r="G16" s="1">
        <v>487</v>
      </c>
      <c r="H16" s="4">
        <f t="shared" si="0"/>
        <v>1.45161290322581</v>
      </c>
      <c r="I16" s="4">
        <f t="shared" si="1"/>
        <v>1.88759689922481</v>
      </c>
      <c r="J16" s="7">
        <f ca="1">F16-IFERROR(VLOOKUP($A16,'0531'!$A$1:'0531'!G$48,6,FALSE),IFERROR(VLOOKUP($C16,'0531'!$C$1:'0531'!G$48,4,FALSE),F16-D16))</f>
        <v>8</v>
      </c>
      <c r="K16" s="8">
        <f ca="1">G16-IFERROR(VLOOKUP($A16,'0531'!$A$1:'0531'!H$44,7,FALSE),IFERROR(VLOOKUP($C16,'0531'!$C$1:'0531'!H$44,5,FALSE),G16-E16))</f>
        <v>0</v>
      </c>
      <c r="L16" s="4">
        <f ca="1" t="shared" si="2"/>
        <v>0</v>
      </c>
      <c r="M16" s="2" t="s">
        <v>167</v>
      </c>
      <c r="N16" s="2" t="s">
        <v>174</v>
      </c>
    </row>
    <row r="17" s="1" customFormat="1" spans="1:14">
      <c r="A17" s="1" t="s">
        <v>146</v>
      </c>
      <c r="B17" s="1" t="s">
        <v>10</v>
      </c>
      <c r="C17" s="3">
        <v>45797</v>
      </c>
      <c r="D17" s="1">
        <v>267</v>
      </c>
      <c r="E17" s="1">
        <v>300</v>
      </c>
      <c r="F17" s="1">
        <v>437</v>
      </c>
      <c r="G17" s="1">
        <v>806</v>
      </c>
      <c r="H17" s="4">
        <f t="shared" si="0"/>
        <v>1.12359550561798</v>
      </c>
      <c r="I17" s="4">
        <f t="shared" si="1"/>
        <v>1.84439359267735</v>
      </c>
      <c r="J17" s="7">
        <f ca="1">F17-IFERROR(VLOOKUP($A17,'0531'!$A$1:'0531'!G$48,6,FALSE),IFERROR(VLOOKUP($C17,'0531'!$C$1:'0531'!G$48,4,FALSE),F17-D17))</f>
        <v>8</v>
      </c>
      <c r="K17" s="8">
        <f ca="1">G17-IFERROR(VLOOKUP($A17,'0531'!$A$1:'0531'!H$44,7,FALSE),IFERROR(VLOOKUP($C17,'0531'!$C$1:'0531'!H$44,5,FALSE),G17-E17))</f>
        <v>0</v>
      </c>
      <c r="L17" s="4">
        <f ca="1" t="shared" si="2"/>
        <v>0</v>
      </c>
      <c r="M17" s="2" t="s">
        <v>152</v>
      </c>
      <c r="N17" s="2" t="s">
        <v>178</v>
      </c>
    </row>
    <row r="18" s="1" customFormat="1" spans="1:14">
      <c r="A18" s="1" t="s">
        <v>142</v>
      </c>
      <c r="B18" s="1" t="s">
        <v>10</v>
      </c>
      <c r="C18" s="3">
        <v>45796</v>
      </c>
      <c r="D18" s="1">
        <v>30</v>
      </c>
      <c r="E18" s="1">
        <v>33</v>
      </c>
      <c r="F18" s="1">
        <v>166</v>
      </c>
      <c r="G18" s="1">
        <v>309</v>
      </c>
      <c r="H18" s="4">
        <f t="shared" si="0"/>
        <v>1.1</v>
      </c>
      <c r="I18" s="4">
        <f t="shared" si="1"/>
        <v>1.86144578313253</v>
      </c>
      <c r="J18" s="7">
        <f ca="1">F18-IFERROR(VLOOKUP($A18,'0531'!$A$1:'0531'!G$48,6,FALSE),IFERROR(VLOOKUP($C18,'0531'!$C$1:'0531'!G$48,4,FALSE),F18-D18))</f>
        <v>1</v>
      </c>
      <c r="K18" s="8">
        <f ca="1">G18-IFERROR(VLOOKUP($A18,'0531'!$A$1:'0531'!H$44,7,FALSE),IFERROR(VLOOKUP($C18,'0531'!$C$1:'0531'!H$44,5,FALSE),G18-E18))</f>
        <v>4</v>
      </c>
      <c r="L18" s="4">
        <f ca="1" t="shared" si="2"/>
        <v>4</v>
      </c>
      <c r="M18" s="2" t="s">
        <v>161</v>
      </c>
      <c r="N18" s="2" t="s">
        <v>168</v>
      </c>
    </row>
    <row r="19" s="1" customFormat="1" spans="1:14">
      <c r="A19" s="1" t="s">
        <v>130</v>
      </c>
      <c r="B19" s="1" t="s">
        <v>10</v>
      </c>
      <c r="C19" s="3">
        <v>45794</v>
      </c>
      <c r="D19" s="1">
        <v>2202</v>
      </c>
      <c r="E19" s="1">
        <v>795</v>
      </c>
      <c r="F19" s="1">
        <v>40537</v>
      </c>
      <c r="G19" s="1">
        <v>12519</v>
      </c>
      <c r="H19" s="4">
        <f t="shared" si="0"/>
        <v>0.361035422343324</v>
      </c>
      <c r="I19" s="4">
        <f t="shared" si="1"/>
        <v>0.308828971063473</v>
      </c>
      <c r="J19" s="7">
        <f ca="1">F19-IFERROR(VLOOKUP($A19,'0531'!$A$1:'0531'!G$48,6,FALSE),IFERROR(VLOOKUP($C19,'0531'!$C$1:'0531'!G$48,4,FALSE),F19-D19))</f>
        <v>87</v>
      </c>
      <c r="K19" s="8">
        <f ca="1">G19-IFERROR(VLOOKUP($A19,'0531'!$A$1:'0531'!H$44,7,FALSE),IFERROR(VLOOKUP($C19,'0531'!$C$1:'0531'!H$44,5,FALSE),G19-E19))</f>
        <v>38</v>
      </c>
      <c r="L19" s="4">
        <f ca="1" t="shared" si="2"/>
        <v>0.436781609195402</v>
      </c>
      <c r="M19" s="2"/>
      <c r="N19" s="2"/>
    </row>
    <row r="20" s="1" customFormat="1" spans="1:14">
      <c r="A20" s="1" t="s">
        <v>120</v>
      </c>
      <c r="B20" s="1" t="s">
        <v>10</v>
      </c>
      <c r="C20" s="3">
        <v>45793</v>
      </c>
      <c r="D20" s="1">
        <v>57</v>
      </c>
      <c r="E20" s="1">
        <v>31</v>
      </c>
      <c r="F20" s="1">
        <v>304</v>
      </c>
      <c r="G20" s="1">
        <v>503</v>
      </c>
      <c r="H20" s="4">
        <f t="shared" si="0"/>
        <v>0.543859649122807</v>
      </c>
      <c r="I20" s="4">
        <f t="shared" si="1"/>
        <v>1.65460526315789</v>
      </c>
      <c r="J20" s="7">
        <f ca="1">F20-IFERROR(VLOOKUP($A20,'0531'!$A$1:'0531'!G$48,6,FALSE),IFERROR(VLOOKUP($C20,'0531'!$C$1:'0531'!G$48,4,FALSE),F20-D20))</f>
        <v>0</v>
      </c>
      <c r="K20" s="8">
        <f ca="1">G20-IFERROR(VLOOKUP($A20,'0531'!$A$1:'0531'!H$44,7,FALSE),IFERROR(VLOOKUP($C20,'0531'!$C$1:'0531'!H$44,5,FALSE),G20-E20))</f>
        <v>0</v>
      </c>
      <c r="L20" s="4">
        <f ca="1" t="shared" si="2"/>
        <v>0</v>
      </c>
      <c r="M20" s="2"/>
      <c r="N20" s="2"/>
    </row>
    <row r="21" s="1" customFormat="1" spans="1:14">
      <c r="A21" s="1" t="s">
        <v>115</v>
      </c>
      <c r="B21" s="1" t="s">
        <v>10</v>
      </c>
      <c r="C21" s="3">
        <v>45792</v>
      </c>
      <c r="D21" s="1">
        <v>26</v>
      </c>
      <c r="E21" s="1">
        <v>4</v>
      </c>
      <c r="F21" s="1">
        <v>282</v>
      </c>
      <c r="G21" s="1">
        <v>230</v>
      </c>
      <c r="H21" s="4">
        <f t="shared" si="0"/>
        <v>0.153846153846154</v>
      </c>
      <c r="I21" s="4">
        <f t="shared" si="1"/>
        <v>0.815602836879433</v>
      </c>
      <c r="J21" s="7">
        <f ca="1">F21-IFERROR(VLOOKUP($A21,'0531'!$A$1:'0531'!G$48,6,FALSE),IFERROR(VLOOKUP($C21,'0531'!$C$1:'0531'!G$48,4,FALSE),F21-D21))</f>
        <v>1</v>
      </c>
      <c r="K21" s="8">
        <f ca="1">G21-IFERROR(VLOOKUP($A21,'0531'!$A$1:'0531'!H$44,7,FALSE),IFERROR(VLOOKUP($C21,'0531'!$C$1:'0531'!H$44,5,FALSE),G21-E21))</f>
        <v>0</v>
      </c>
      <c r="L21" s="4">
        <f ca="1" t="shared" si="2"/>
        <v>0</v>
      </c>
      <c r="M21" s="2" t="s">
        <v>169</v>
      </c>
      <c r="N21" s="2"/>
    </row>
    <row r="22" s="1" customFormat="1" spans="1:14">
      <c r="A22" s="1" t="s">
        <v>116</v>
      </c>
      <c r="B22" s="1" t="s">
        <v>10</v>
      </c>
      <c r="C22" s="3">
        <v>45792</v>
      </c>
      <c r="D22" s="1">
        <v>159</v>
      </c>
      <c r="E22" s="1">
        <v>35</v>
      </c>
      <c r="F22" s="1">
        <v>340</v>
      </c>
      <c r="G22" s="1">
        <v>788</v>
      </c>
      <c r="H22" s="4">
        <f t="shared" si="0"/>
        <v>0.220125786163522</v>
      </c>
      <c r="I22" s="4">
        <f t="shared" si="1"/>
        <v>2.31764705882353</v>
      </c>
      <c r="J22" s="7">
        <f ca="1">F22-IFERROR(VLOOKUP($A22,'0531'!$A$1:'0531'!G$48,6,FALSE),IFERROR(VLOOKUP($C22,'0531'!$C$1:'0531'!G$48,4,FALSE),F22-D22))</f>
        <v>7</v>
      </c>
      <c r="K22" s="8">
        <f ca="1">G22-IFERROR(VLOOKUP($A22,'0531'!$A$1:'0531'!H$44,7,FALSE),IFERROR(VLOOKUP($C22,'0531'!$C$1:'0531'!H$44,5,FALSE),G22-E22))</f>
        <v>0</v>
      </c>
      <c r="L22" s="4">
        <f ca="1" t="shared" si="2"/>
        <v>0</v>
      </c>
      <c r="M22" s="2" t="s">
        <v>133</v>
      </c>
      <c r="N22" s="2" t="s">
        <v>170</v>
      </c>
    </row>
    <row r="23" s="1" customFormat="1" spans="1:14">
      <c r="A23" s="1" t="s">
        <v>112</v>
      </c>
      <c r="B23" s="1" t="s">
        <v>10</v>
      </c>
      <c r="C23" s="3">
        <v>45791</v>
      </c>
      <c r="D23" s="1">
        <v>50</v>
      </c>
      <c r="E23" s="1">
        <v>4</v>
      </c>
      <c r="F23" s="1">
        <v>382</v>
      </c>
      <c r="G23" s="1">
        <v>181</v>
      </c>
      <c r="H23" s="4">
        <f t="shared" si="0"/>
        <v>0.08</v>
      </c>
      <c r="I23" s="4">
        <f t="shared" si="1"/>
        <v>0.473821989528796</v>
      </c>
      <c r="J23" s="7">
        <f ca="1">F23-IFERROR(VLOOKUP($A23,'0531'!$A$1:'0531'!G$48,6,FALSE),IFERROR(VLOOKUP($C23,'0531'!$C$1:'0531'!G$48,4,FALSE),F23-D23))</f>
        <v>50</v>
      </c>
      <c r="K23" s="8">
        <f ca="1">G23-IFERROR(VLOOKUP($A23,'0531'!$A$1:'0531'!H$44,7,FALSE),IFERROR(VLOOKUP($C23,'0531'!$C$1:'0531'!H$44,5,FALSE),G23-E23))</f>
        <v>4</v>
      </c>
      <c r="L23" s="4">
        <f ca="1" t="shared" si="2"/>
        <v>0.08</v>
      </c>
      <c r="M23" s="2" t="s">
        <v>188</v>
      </c>
      <c r="N23" s="2"/>
    </row>
    <row r="24" s="1" customFormat="1" spans="1:14">
      <c r="A24" s="1" t="s">
        <v>105</v>
      </c>
      <c r="B24" s="1" t="s">
        <v>10</v>
      </c>
      <c r="C24" s="3">
        <v>45789</v>
      </c>
      <c r="D24" s="1">
        <v>4</v>
      </c>
      <c r="E24" s="1">
        <v>8</v>
      </c>
      <c r="F24" s="1">
        <v>231</v>
      </c>
      <c r="G24" s="1">
        <v>578</v>
      </c>
      <c r="H24" s="4">
        <f t="shared" si="0"/>
        <v>2</v>
      </c>
      <c r="I24" s="4">
        <f t="shared" si="1"/>
        <v>2.5021645021645</v>
      </c>
      <c r="J24" s="7">
        <f ca="1">F24-IFERROR(VLOOKUP($A24,'0531'!$A$1:'0531'!G$48,6,FALSE),IFERROR(VLOOKUP($C24,'0531'!$C$1:'0531'!G$48,4,FALSE),F24-D24))</f>
        <v>4</v>
      </c>
      <c r="K24" s="8">
        <f ca="1">G24-IFERROR(VLOOKUP($A24,'0531'!$A$1:'0531'!H$44,7,FALSE),IFERROR(VLOOKUP($C24,'0531'!$C$1:'0531'!H$44,5,FALSE),G24-E24))</f>
        <v>8</v>
      </c>
      <c r="L24" s="4">
        <f ca="1" t="shared" si="2"/>
        <v>2</v>
      </c>
      <c r="M24" s="2" t="s">
        <v>189</v>
      </c>
      <c r="N24" s="2"/>
    </row>
    <row r="25" s="1" customFormat="1" spans="1:14">
      <c r="A25" s="1" t="s">
        <v>93</v>
      </c>
      <c r="B25" s="1" t="s">
        <v>10</v>
      </c>
      <c r="C25" s="3">
        <v>45786</v>
      </c>
      <c r="D25" s="1">
        <v>76</v>
      </c>
      <c r="E25" s="1">
        <v>12</v>
      </c>
      <c r="F25" s="1">
        <v>421</v>
      </c>
      <c r="G25" s="1">
        <v>299</v>
      </c>
      <c r="H25" s="4">
        <f t="shared" si="0"/>
        <v>0.157894736842105</v>
      </c>
      <c r="I25" s="4">
        <f t="shared" si="1"/>
        <v>0.71021377672209</v>
      </c>
      <c r="J25" s="7">
        <f ca="1">F25-IFERROR(VLOOKUP($A25,'0531'!$A$1:'0531'!G$48,6,FALSE),IFERROR(VLOOKUP($C25,'0531'!$C$1:'0531'!G$48,4,FALSE),F25-D25))</f>
        <v>6</v>
      </c>
      <c r="K25" s="8">
        <f ca="1">G25-IFERROR(VLOOKUP($A25,'0531'!$A$1:'0531'!H$44,7,FALSE),IFERROR(VLOOKUP($C25,'0531'!$C$1:'0531'!H$44,5,FALSE),G25-E25))</f>
        <v>0</v>
      </c>
      <c r="L25" s="4">
        <f ca="1" t="shared" si="2"/>
        <v>0</v>
      </c>
      <c r="M25" s="2" t="s">
        <v>175</v>
      </c>
      <c r="N25" s="2"/>
    </row>
    <row r="26" s="1" customFormat="1" spans="1:14">
      <c r="A26" s="1" t="s">
        <v>134</v>
      </c>
      <c r="B26" s="1" t="s">
        <v>10</v>
      </c>
      <c r="C26" s="3">
        <v>45780</v>
      </c>
      <c r="D26" s="1">
        <v>4175</v>
      </c>
      <c r="E26" s="1">
        <v>113</v>
      </c>
      <c r="F26" s="1">
        <v>5966</v>
      </c>
      <c r="G26" s="1">
        <v>711</v>
      </c>
      <c r="H26" s="4">
        <f t="shared" si="0"/>
        <v>0.0270658682634731</v>
      </c>
      <c r="I26" s="4">
        <f t="shared" si="1"/>
        <v>0.119175326852162</v>
      </c>
      <c r="J26" s="7">
        <f ca="1">F26-IFERROR(VLOOKUP($A26,'0531'!$A$1:'0531'!G$48,6,FALSE),IFERROR(VLOOKUP($C26,'0531'!$C$1:'0531'!G$48,4,FALSE),F26-D26))</f>
        <v>44</v>
      </c>
      <c r="K26" s="8">
        <f ca="1">G26-IFERROR(VLOOKUP($A26,'0531'!$A$1:'0531'!H$44,7,FALSE),IFERROR(VLOOKUP($C26,'0531'!$C$1:'0531'!H$44,5,FALSE),G26-E26))</f>
        <v>0</v>
      </c>
      <c r="L26" s="4">
        <f ca="1" t="shared" si="2"/>
        <v>0</v>
      </c>
      <c r="M26" s="2"/>
      <c r="N26" s="2"/>
    </row>
    <row r="27" s="1" customFormat="1" spans="1:14">
      <c r="A27" s="1" t="s">
        <v>23</v>
      </c>
      <c r="B27" s="1" t="s">
        <v>10</v>
      </c>
      <c r="C27" s="3">
        <v>45770</v>
      </c>
      <c r="D27" s="1">
        <v>10</v>
      </c>
      <c r="E27" s="1">
        <v>6</v>
      </c>
      <c r="F27" s="1">
        <v>255</v>
      </c>
      <c r="G27" s="1">
        <v>691</v>
      </c>
      <c r="H27" s="4">
        <f t="shared" si="0"/>
        <v>0.6</v>
      </c>
      <c r="I27" s="4">
        <f t="shared" si="1"/>
        <v>2.70980392156863</v>
      </c>
      <c r="J27" s="7">
        <f ca="1">F27-IFERROR(VLOOKUP($A27,'0531'!$A$1:'0531'!G$48,6,FALSE),IFERROR(VLOOKUP($C27,'0531'!$C$1:'0531'!G$48,4,FALSE),F27-D27))</f>
        <v>10</v>
      </c>
      <c r="K27" s="8">
        <f ca="1">G27-IFERROR(VLOOKUP($A27,'0531'!$A$1:'0531'!H$44,7,FALSE),IFERROR(VLOOKUP($C27,'0531'!$C$1:'0531'!H$44,5,FALSE),G27-E27))</f>
        <v>6</v>
      </c>
      <c r="L27" s="4">
        <f ca="1" t="shared" si="2"/>
        <v>0.6</v>
      </c>
      <c r="M27" s="2" t="s">
        <v>190</v>
      </c>
      <c r="N27" s="2"/>
    </row>
    <row r="28" s="1" customFormat="1" spans="1:14">
      <c r="A28" s="1" t="s">
        <v>114</v>
      </c>
      <c r="B28" s="1" t="s">
        <v>10</v>
      </c>
      <c r="C28" s="3">
        <v>45756</v>
      </c>
      <c r="D28" s="1">
        <v>10</v>
      </c>
      <c r="E28" s="1">
        <v>6</v>
      </c>
      <c r="F28" s="1">
        <v>504</v>
      </c>
      <c r="G28" s="1">
        <v>625</v>
      </c>
      <c r="H28" s="4">
        <f t="shared" si="0"/>
        <v>0.6</v>
      </c>
      <c r="I28" s="4">
        <f t="shared" si="1"/>
        <v>1.24007936507937</v>
      </c>
      <c r="J28" s="7">
        <f ca="1">F28-IFERROR(VLOOKUP($A28,'0531'!$A$1:'0531'!G$48,6,FALSE),IFERROR(VLOOKUP($C28,'0531'!$C$1:'0531'!G$48,4,FALSE),F28-D28))</f>
        <v>10</v>
      </c>
      <c r="K28" s="8">
        <f ca="1">G28-IFERROR(VLOOKUP($A28,'0531'!$A$1:'0531'!H$44,7,FALSE),IFERROR(VLOOKUP($C28,'0531'!$C$1:'0531'!H$44,5,FALSE),G28-E28))</f>
        <v>6</v>
      </c>
      <c r="L28" s="4">
        <f ca="1" t="shared" si="2"/>
        <v>0.6</v>
      </c>
      <c r="M28" s="2" t="s">
        <v>191</v>
      </c>
      <c r="N28" s="2"/>
    </row>
    <row r="29" s="1" customFormat="1" spans="1:14">
      <c r="A29" s="1" t="s">
        <v>73</v>
      </c>
      <c r="B29" s="1" t="s">
        <v>10</v>
      </c>
      <c r="C29" s="3">
        <v>45755</v>
      </c>
      <c r="D29" s="1">
        <v>6</v>
      </c>
      <c r="E29" s="1">
        <v>6</v>
      </c>
      <c r="F29" s="1">
        <v>490</v>
      </c>
      <c r="G29" s="1">
        <v>532</v>
      </c>
      <c r="H29" s="4">
        <f t="shared" si="0"/>
        <v>1</v>
      </c>
      <c r="I29" s="4">
        <f t="shared" si="1"/>
        <v>1.08571428571429</v>
      </c>
      <c r="J29" s="7">
        <f ca="1">F29-IFERROR(VLOOKUP($A29,'0531'!$A$1:'0531'!G$48,6,FALSE),IFERROR(VLOOKUP($C29,'0531'!$C$1:'0531'!G$48,4,FALSE),F29-D29))</f>
        <v>0</v>
      </c>
      <c r="K29" s="8">
        <f ca="1">G29-IFERROR(VLOOKUP($A29,'0531'!$A$1:'0531'!H$44,7,FALSE),IFERROR(VLOOKUP($C29,'0531'!$C$1:'0531'!H$44,5,FALSE),G29-E29))</f>
        <v>0</v>
      </c>
      <c r="L29" s="4">
        <f ca="1" t="shared" si="2"/>
        <v>0</v>
      </c>
      <c r="M29" s="2" t="s">
        <v>181</v>
      </c>
      <c r="N29" s="2"/>
    </row>
    <row r="30" s="1" customFormat="1" spans="1:14">
      <c r="A30" s="1" t="s">
        <v>52</v>
      </c>
      <c r="B30" s="1" t="s">
        <v>10</v>
      </c>
      <c r="C30" s="3">
        <v>45743</v>
      </c>
      <c r="D30" s="1">
        <v>120</v>
      </c>
      <c r="E30" s="1">
        <v>26</v>
      </c>
      <c r="F30" s="1">
        <v>5390</v>
      </c>
      <c r="G30" s="1">
        <v>2127</v>
      </c>
      <c r="H30" s="4">
        <f t="shared" si="0"/>
        <v>0.216666666666667</v>
      </c>
      <c r="I30" s="4">
        <f t="shared" si="1"/>
        <v>0.394619666048237</v>
      </c>
      <c r="J30" s="7">
        <f ca="1">F30-IFERROR(VLOOKUP($A30,'0531'!$A$1:'0531'!G$48,6,FALSE),IFERROR(VLOOKUP($C30,'0531'!$C$1:'0531'!G$48,4,FALSE),F30-D30))</f>
        <v>5</v>
      </c>
      <c r="K30" s="8">
        <f ca="1">G30-IFERROR(VLOOKUP($A30,'0531'!$A$1:'0531'!H$44,7,FALSE),IFERROR(VLOOKUP($C30,'0531'!$C$1:'0531'!H$44,5,FALSE),G30-E30))</f>
        <v>6</v>
      </c>
      <c r="L30" s="4">
        <f ca="1" t="shared" si="2"/>
        <v>1.2</v>
      </c>
      <c r="M30" s="2" t="s">
        <v>159</v>
      </c>
      <c r="N30" s="2"/>
    </row>
    <row r="31" s="1" customFormat="1" spans="1:14">
      <c r="A31" s="1" t="s">
        <v>123</v>
      </c>
      <c r="B31" s="1" t="s">
        <v>10</v>
      </c>
      <c r="C31" s="3">
        <v>45685</v>
      </c>
      <c r="D31" s="1">
        <v>120</v>
      </c>
      <c r="E31" s="1">
        <v>9</v>
      </c>
      <c r="F31" s="1">
        <v>320</v>
      </c>
      <c r="G31" s="1">
        <v>533</v>
      </c>
      <c r="H31" s="4">
        <f t="shared" si="0"/>
        <v>0.075</v>
      </c>
      <c r="I31" s="4">
        <f t="shared" si="1"/>
        <v>1.665625</v>
      </c>
      <c r="J31" s="7">
        <f ca="1">F31-IFERROR(VLOOKUP($A31,'0531'!$A$1:'0531'!G$48,6,FALSE),IFERROR(VLOOKUP($C31,'0531'!$C$1:'0531'!G$48,4,FALSE),F31-D31))</f>
        <v>14</v>
      </c>
      <c r="K31" s="8">
        <f ca="1">G31-IFERROR(VLOOKUP($A31,'0531'!$A$1:'0531'!H$44,7,FALSE),IFERROR(VLOOKUP($C31,'0531'!$C$1:'0531'!H$44,5,FALSE),G31-E31))</f>
        <v>0</v>
      </c>
      <c r="L31" s="4">
        <f ca="1" t="shared" si="2"/>
        <v>0</v>
      </c>
      <c r="M31" s="2" t="s">
        <v>162</v>
      </c>
      <c r="N31" s="2"/>
    </row>
    <row r="32" s="1" customFormat="1" spans="1:14">
      <c r="A32" s="1" t="s">
        <v>127</v>
      </c>
      <c r="B32" s="1" t="s">
        <v>10</v>
      </c>
      <c r="C32" s="3">
        <v>45547</v>
      </c>
      <c r="D32" s="1">
        <v>44</v>
      </c>
      <c r="E32" s="1">
        <v>1</v>
      </c>
      <c r="F32" s="1">
        <v>9154</v>
      </c>
      <c r="G32" s="1">
        <v>2510</v>
      </c>
      <c r="H32" s="4">
        <f t="shared" si="0"/>
        <v>0.0227272727272727</v>
      </c>
      <c r="I32" s="4">
        <f t="shared" si="1"/>
        <v>0.274197072318112</v>
      </c>
      <c r="J32" s="7">
        <f ca="1">F32-IFERROR(VLOOKUP($A32,'0531'!$A$1:'0531'!G$48,6,FALSE),IFERROR(VLOOKUP($C32,'0531'!$C$1:'0531'!G$48,4,FALSE),F32-D32))</f>
        <v>0</v>
      </c>
      <c r="K32" s="8">
        <f ca="1">G32-IFERROR(VLOOKUP($A32,'0531'!$A$1:'0531'!H$44,7,FALSE),IFERROR(VLOOKUP($C32,'0531'!$C$1:'0531'!H$44,5,FALSE),G32-E32))</f>
        <v>0</v>
      </c>
      <c r="L32" s="4">
        <f ca="1" t="shared" si="2"/>
        <v>0</v>
      </c>
      <c r="M32" s="2" t="s">
        <v>163</v>
      </c>
      <c r="N32" s="2"/>
    </row>
    <row r="33" spans="11:11">
      <c r="K33" s="2">
        <f ca="1">SUM(K2:K32)</f>
        <v>599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32</vt:i4>
      </vt:variant>
    </vt:vector>
  </HeadingPairs>
  <TitlesOfParts>
    <vt:vector size="32" baseType="lpstr">
      <vt:lpstr>0501</vt:lpstr>
      <vt:lpstr>0502</vt:lpstr>
      <vt:lpstr>0503</vt:lpstr>
      <vt:lpstr>0504</vt:lpstr>
      <vt:lpstr>0505</vt:lpstr>
      <vt:lpstr>0506</vt:lpstr>
      <vt:lpstr>0507</vt:lpstr>
      <vt:lpstr>0508</vt:lpstr>
      <vt:lpstr>0509</vt:lpstr>
      <vt:lpstr>0510</vt:lpstr>
      <vt:lpstr>0511</vt:lpstr>
      <vt:lpstr>0512</vt:lpstr>
      <vt:lpstr>0513</vt:lpstr>
      <vt:lpstr>0514</vt:lpstr>
      <vt:lpstr>0515</vt:lpstr>
      <vt:lpstr>0516</vt:lpstr>
      <vt:lpstr>0517</vt:lpstr>
      <vt:lpstr>0518</vt:lpstr>
      <vt:lpstr>0519</vt:lpstr>
      <vt:lpstr>0520</vt:lpstr>
      <vt:lpstr>0521</vt:lpstr>
      <vt:lpstr>0522</vt:lpstr>
      <vt:lpstr>0523</vt:lpstr>
      <vt:lpstr>0524</vt:lpstr>
      <vt:lpstr>0525</vt:lpstr>
      <vt:lpstr>0526</vt:lpstr>
      <vt:lpstr>0527</vt:lpstr>
      <vt:lpstr>0528</vt:lpstr>
      <vt:lpstr>0529</vt:lpstr>
      <vt:lpstr>0530</vt:lpstr>
      <vt:lpstr>0531</vt:lpstr>
      <vt:lpstr>0601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WPS_1704957527</cp:lastModifiedBy>
  <dcterms:created xsi:type="dcterms:W3CDTF">2025-05-02T12:14:00Z</dcterms:created>
  <dcterms:modified xsi:type="dcterms:W3CDTF">2025-06-01T02:48:07Z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579DAFBB33AA4C88A3D6ED563E0EABCE</vt:lpwstr>
  </property>
  <property fmtid="{D5CDD505-2E9C-101B-9397-08002B2CF9AE}" pid="3" name="KSOProductBuildVer">
    <vt:lpwstr>2052-11.1.0.11830</vt:lpwstr>
  </property>
</Properties>
</file>