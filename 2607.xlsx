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G:\me\致知收益\2025\test\"/>
    </mc:Choice>
  </mc:AlternateContent>
  <xr:revisionPtr revIDLastSave="0" documentId="13_ncr:1_{5D553FA4-6BC2-424F-8C39-37B99455D0B4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0701" sheetId="1" r:id="rId1"/>
    <sheet name="0702" sheetId="2" r:id="rId2"/>
    <sheet name="0703" sheetId="3" r:id="rId3"/>
    <sheet name="0704" sheetId="4" r:id="rId4"/>
    <sheet name="0705" sheetId="5" r:id="rId5"/>
  </sheets>
  <calcPr calcId="181029"/>
</workbook>
</file>

<file path=xl/calcChain.xml><?xml version="1.0" encoding="utf-8"?>
<calcChain xmlns="http://schemas.openxmlformats.org/spreadsheetml/2006/main">
  <c r="K47" i="5" l="1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K49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K50" i="3"/>
  <c r="L50" i="3" s="1"/>
  <c r="J50" i="3"/>
  <c r="I50" i="3"/>
  <c r="H50" i="3"/>
  <c r="K49" i="3"/>
  <c r="L49" i="3" s="1"/>
  <c r="J49" i="3"/>
  <c r="I49" i="3"/>
  <c r="H49" i="3"/>
  <c r="L48" i="3"/>
  <c r="K48" i="3"/>
  <c r="J48" i="3"/>
  <c r="I48" i="3"/>
  <c r="H48" i="3"/>
  <c r="K47" i="3"/>
  <c r="L47" i="3" s="1"/>
  <c r="J47" i="3"/>
  <c r="I47" i="3"/>
  <c r="H47" i="3"/>
  <c r="K46" i="3"/>
  <c r="J46" i="3"/>
  <c r="I46" i="3"/>
  <c r="H46" i="3"/>
  <c r="L45" i="3"/>
  <c r="K45" i="3"/>
  <c r="J45" i="3"/>
  <c r="I45" i="3"/>
  <c r="H45" i="3"/>
  <c r="K44" i="3"/>
  <c r="J44" i="3"/>
  <c r="I44" i="3"/>
  <c r="H44" i="3"/>
  <c r="K43" i="3"/>
  <c r="J43" i="3"/>
  <c r="L43" i="3" s="1"/>
  <c r="I43" i="3"/>
  <c r="H43" i="3"/>
  <c r="K42" i="3"/>
  <c r="J42" i="3"/>
  <c r="I42" i="3"/>
  <c r="H42" i="3"/>
  <c r="K41" i="3"/>
  <c r="J41" i="3"/>
  <c r="I41" i="3"/>
  <c r="H41" i="3"/>
  <c r="K40" i="3"/>
  <c r="L40" i="3" s="1"/>
  <c r="J40" i="3"/>
  <c r="I40" i="3"/>
  <c r="H40" i="3"/>
  <c r="L39" i="3"/>
  <c r="K39" i="3"/>
  <c r="J39" i="3"/>
  <c r="I39" i="3"/>
  <c r="H39" i="3"/>
  <c r="K38" i="3"/>
  <c r="J38" i="3"/>
  <c r="I38" i="3"/>
  <c r="H38" i="3"/>
  <c r="L37" i="3"/>
  <c r="K37" i="3"/>
  <c r="J37" i="3"/>
  <c r="I37" i="3"/>
  <c r="H37" i="3"/>
  <c r="K36" i="3"/>
  <c r="L36" i="3" s="1"/>
  <c r="J36" i="3"/>
  <c r="I36" i="3"/>
  <c r="H36" i="3"/>
  <c r="K35" i="3"/>
  <c r="J35" i="3"/>
  <c r="I35" i="3"/>
  <c r="H35" i="3"/>
  <c r="K34" i="3"/>
  <c r="L34" i="3" s="1"/>
  <c r="J34" i="3"/>
  <c r="I34" i="3"/>
  <c r="H34" i="3"/>
  <c r="K33" i="3"/>
  <c r="J33" i="3"/>
  <c r="I33" i="3"/>
  <c r="H33" i="3"/>
  <c r="K32" i="3"/>
  <c r="J32" i="3"/>
  <c r="I32" i="3"/>
  <c r="H32" i="3"/>
  <c r="K31" i="3"/>
  <c r="L31" i="3" s="1"/>
  <c r="J31" i="3"/>
  <c r="I31" i="3"/>
  <c r="H31" i="3"/>
  <c r="K30" i="3"/>
  <c r="L30" i="3" s="1"/>
  <c r="J30" i="3"/>
  <c r="I30" i="3"/>
  <c r="H30" i="3"/>
  <c r="K29" i="3"/>
  <c r="L29" i="3" s="1"/>
  <c r="J29" i="3"/>
  <c r="I29" i="3"/>
  <c r="H29" i="3"/>
  <c r="K28" i="3"/>
  <c r="L28" i="3" s="1"/>
  <c r="J28" i="3"/>
  <c r="I28" i="3"/>
  <c r="H28" i="3"/>
  <c r="K27" i="3"/>
  <c r="L27" i="3" s="1"/>
  <c r="J27" i="3"/>
  <c r="I27" i="3"/>
  <c r="H27" i="3"/>
  <c r="K26" i="3"/>
  <c r="L26" i="3" s="1"/>
  <c r="J26" i="3"/>
  <c r="I26" i="3"/>
  <c r="H26" i="3"/>
  <c r="K25" i="3"/>
  <c r="L25" i="3" s="1"/>
  <c r="J25" i="3"/>
  <c r="I25" i="3"/>
  <c r="H25" i="3"/>
  <c r="K24" i="3"/>
  <c r="J24" i="3"/>
  <c r="I24" i="3"/>
  <c r="H24" i="3"/>
  <c r="K23" i="3"/>
  <c r="J23" i="3"/>
  <c r="L23" i="3" s="1"/>
  <c r="I23" i="3"/>
  <c r="H23" i="3"/>
  <c r="K22" i="3"/>
  <c r="L22" i="3" s="1"/>
  <c r="J22" i="3"/>
  <c r="I22" i="3"/>
  <c r="H22" i="3"/>
  <c r="K21" i="3"/>
  <c r="L21" i="3" s="1"/>
  <c r="J21" i="3"/>
  <c r="I21" i="3"/>
  <c r="H21" i="3"/>
  <c r="K20" i="3"/>
  <c r="J20" i="3"/>
  <c r="I20" i="3"/>
  <c r="H20" i="3"/>
  <c r="K19" i="3"/>
  <c r="J19" i="3"/>
  <c r="I19" i="3"/>
  <c r="H19" i="3"/>
  <c r="K18" i="3"/>
  <c r="J18" i="3"/>
  <c r="I18" i="3"/>
  <c r="H18" i="3"/>
  <c r="K17" i="3"/>
  <c r="J17" i="3"/>
  <c r="I17" i="3"/>
  <c r="H17" i="3"/>
  <c r="K16" i="3"/>
  <c r="J16" i="3"/>
  <c r="L16" i="3" s="1"/>
  <c r="I16" i="3"/>
  <c r="H16" i="3"/>
  <c r="K15" i="3"/>
  <c r="L15" i="3" s="1"/>
  <c r="J15" i="3"/>
  <c r="I15" i="3"/>
  <c r="H15" i="3"/>
  <c r="K14" i="3"/>
  <c r="J14" i="3"/>
  <c r="I14" i="3"/>
  <c r="H14" i="3"/>
  <c r="K13" i="3"/>
  <c r="L13" i="3" s="1"/>
  <c r="J13" i="3"/>
  <c r="I13" i="3"/>
  <c r="H13" i="3"/>
  <c r="K12" i="3"/>
  <c r="L12" i="3" s="1"/>
  <c r="J12" i="3"/>
  <c r="I12" i="3"/>
  <c r="H12" i="3"/>
  <c r="K11" i="3"/>
  <c r="L11" i="3" s="1"/>
  <c r="J11" i="3"/>
  <c r="I11" i="3"/>
  <c r="H11" i="3"/>
  <c r="K10" i="3"/>
  <c r="L10" i="3" s="1"/>
  <c r="J10" i="3"/>
  <c r="I10" i="3"/>
  <c r="H10" i="3"/>
  <c r="K9" i="3"/>
  <c r="L9" i="3" s="1"/>
  <c r="J9" i="3"/>
  <c r="I9" i="3"/>
  <c r="H9" i="3"/>
  <c r="K8" i="3"/>
  <c r="J8" i="3"/>
  <c r="I8" i="3"/>
  <c r="H8" i="3"/>
  <c r="L7" i="3"/>
  <c r="K7" i="3"/>
  <c r="J7" i="3"/>
  <c r="I7" i="3"/>
  <c r="H7" i="3"/>
  <c r="K6" i="3"/>
  <c r="J6" i="3"/>
  <c r="I6" i="3"/>
  <c r="H6" i="3"/>
  <c r="L5" i="3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K47" i="2"/>
  <c r="J47" i="2"/>
  <c r="I47" i="2"/>
  <c r="H47" i="2"/>
  <c r="K46" i="2"/>
  <c r="J46" i="2"/>
  <c r="I46" i="2"/>
  <c r="H46" i="2"/>
  <c r="K45" i="2"/>
  <c r="J45" i="2"/>
  <c r="I45" i="2"/>
  <c r="H45" i="2"/>
  <c r="K44" i="2"/>
  <c r="J44" i="2"/>
  <c r="L44" i="2" s="1"/>
  <c r="I44" i="2"/>
  <c r="H44" i="2"/>
  <c r="K43" i="2"/>
  <c r="J43" i="2"/>
  <c r="L43" i="2" s="1"/>
  <c r="I43" i="2"/>
  <c r="H43" i="2"/>
  <c r="K42" i="2"/>
  <c r="L42" i="2" s="1"/>
  <c r="J42" i="2"/>
  <c r="I42" i="2"/>
  <c r="H42" i="2"/>
  <c r="K41" i="2"/>
  <c r="J41" i="2"/>
  <c r="I41" i="2"/>
  <c r="H41" i="2"/>
  <c r="K40" i="2"/>
  <c r="L40" i="2" s="1"/>
  <c r="J40" i="2"/>
  <c r="I40" i="2"/>
  <c r="H40" i="2"/>
  <c r="K39" i="2"/>
  <c r="L39" i="2" s="1"/>
  <c r="J39" i="2"/>
  <c r="I39" i="2"/>
  <c r="H39" i="2"/>
  <c r="K38" i="2"/>
  <c r="L38" i="2" s="1"/>
  <c r="J38" i="2"/>
  <c r="I38" i="2"/>
  <c r="H38" i="2"/>
  <c r="K37" i="2"/>
  <c r="L37" i="2" s="1"/>
  <c r="J37" i="2"/>
  <c r="I37" i="2"/>
  <c r="H37" i="2"/>
  <c r="K36" i="2"/>
  <c r="J36" i="2"/>
  <c r="I36" i="2"/>
  <c r="H36" i="2"/>
  <c r="K35" i="2"/>
  <c r="J35" i="2"/>
  <c r="I35" i="2"/>
  <c r="H35" i="2"/>
  <c r="L34" i="2"/>
  <c r="K34" i="2"/>
  <c r="J34" i="2"/>
  <c r="I34" i="2"/>
  <c r="H34" i="2"/>
  <c r="K33" i="2"/>
  <c r="J33" i="2"/>
  <c r="I33" i="2"/>
  <c r="H33" i="2"/>
  <c r="L32" i="2"/>
  <c r="K32" i="2"/>
  <c r="J32" i="2"/>
  <c r="I32" i="2"/>
  <c r="H32" i="2"/>
  <c r="K31" i="2"/>
  <c r="J31" i="2"/>
  <c r="I31" i="2"/>
  <c r="H31" i="2"/>
  <c r="K30" i="2"/>
  <c r="J30" i="2"/>
  <c r="I30" i="2"/>
  <c r="H30" i="2"/>
  <c r="K29" i="2"/>
  <c r="J29" i="2"/>
  <c r="I29" i="2"/>
  <c r="H29" i="2"/>
  <c r="K28" i="2"/>
  <c r="J28" i="2"/>
  <c r="L28" i="2" s="1"/>
  <c r="I28" i="2"/>
  <c r="H28" i="2"/>
  <c r="K27" i="2"/>
  <c r="L27" i="2" s="1"/>
  <c r="J27" i="2"/>
  <c r="I27" i="2"/>
  <c r="H27" i="2"/>
  <c r="K26" i="2"/>
  <c r="L26" i="2" s="1"/>
  <c r="J26" i="2"/>
  <c r="I26" i="2"/>
  <c r="H26" i="2"/>
  <c r="K25" i="2"/>
  <c r="L25" i="2" s="1"/>
  <c r="J25" i="2"/>
  <c r="I25" i="2"/>
  <c r="H25" i="2"/>
  <c r="K24" i="2"/>
  <c r="J24" i="2"/>
  <c r="L24" i="2" s="1"/>
  <c r="I24" i="2"/>
  <c r="H24" i="2"/>
  <c r="K23" i="2"/>
  <c r="L23" i="2" s="1"/>
  <c r="J23" i="2"/>
  <c r="I23" i="2"/>
  <c r="H23" i="2"/>
  <c r="K22" i="2"/>
  <c r="J22" i="2"/>
  <c r="I22" i="2"/>
  <c r="H22" i="2"/>
  <c r="K21" i="2"/>
  <c r="L21" i="2" s="1"/>
  <c r="J21" i="2"/>
  <c r="I21" i="2"/>
  <c r="H21" i="2"/>
  <c r="K20" i="2"/>
  <c r="J20" i="2"/>
  <c r="I20" i="2"/>
  <c r="H20" i="2"/>
  <c r="L19" i="2"/>
  <c r="K19" i="2"/>
  <c r="J19" i="2"/>
  <c r="I19" i="2"/>
  <c r="H19" i="2"/>
  <c r="K18" i="2"/>
  <c r="L18" i="2" s="1"/>
  <c r="J18" i="2"/>
  <c r="I18" i="2"/>
  <c r="H18" i="2"/>
  <c r="K17" i="2"/>
  <c r="J17" i="2"/>
  <c r="I17" i="2"/>
  <c r="H17" i="2"/>
  <c r="K16" i="2"/>
  <c r="L16" i="2" s="1"/>
  <c r="J16" i="2"/>
  <c r="I16" i="2"/>
  <c r="H16" i="2"/>
  <c r="K15" i="2"/>
  <c r="L15" i="2" s="1"/>
  <c r="J15" i="2"/>
  <c r="I15" i="2"/>
  <c r="H15" i="2"/>
  <c r="K14" i="2"/>
  <c r="L14" i="2" s="1"/>
  <c r="J14" i="2"/>
  <c r="I14" i="2"/>
  <c r="H14" i="2"/>
  <c r="K13" i="2"/>
  <c r="L13" i="2" s="1"/>
  <c r="J13" i="2"/>
  <c r="I13" i="2"/>
  <c r="H13" i="2"/>
  <c r="K12" i="2"/>
  <c r="L12" i="2" s="1"/>
  <c r="J12" i="2"/>
  <c r="I12" i="2"/>
  <c r="H12" i="2"/>
  <c r="K11" i="2"/>
  <c r="J11" i="2"/>
  <c r="L11" i="2" s="1"/>
  <c r="I11" i="2"/>
  <c r="H11" i="2"/>
  <c r="L10" i="2"/>
  <c r="K10" i="2"/>
  <c r="J10" i="2"/>
  <c r="I10" i="2"/>
  <c r="H10" i="2"/>
  <c r="K9" i="2"/>
  <c r="J9" i="2"/>
  <c r="I9" i="2"/>
  <c r="H9" i="2"/>
  <c r="K8" i="2"/>
  <c r="L8" i="2" s="1"/>
  <c r="J8" i="2"/>
  <c r="I8" i="2"/>
  <c r="H8" i="2"/>
  <c r="K7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H4" i="2"/>
  <c r="K3" i="2"/>
  <c r="J3" i="2"/>
  <c r="L3" i="2" s="1"/>
  <c r="I3" i="2"/>
  <c r="H3" i="2"/>
  <c r="K2" i="2"/>
  <c r="L2" i="2" s="1"/>
  <c r="J2" i="2"/>
  <c r="I2" i="2"/>
  <c r="H2" i="2"/>
  <c r="K52" i="1"/>
  <c r="L51" i="1"/>
  <c r="I51" i="1"/>
  <c r="H51" i="1"/>
  <c r="L50" i="1"/>
  <c r="I50" i="1"/>
  <c r="H50" i="1"/>
  <c r="L49" i="1"/>
  <c r="I49" i="1"/>
  <c r="H49" i="1"/>
  <c r="L48" i="1"/>
  <c r="I48" i="1"/>
  <c r="H48" i="1"/>
  <c r="L47" i="1"/>
  <c r="I47" i="1"/>
  <c r="H47" i="1"/>
  <c r="L46" i="1"/>
  <c r="I46" i="1"/>
  <c r="H46" i="1"/>
  <c r="L45" i="1"/>
  <c r="I45" i="1"/>
  <c r="H45" i="1"/>
  <c r="L44" i="1"/>
  <c r="I44" i="1"/>
  <c r="H44" i="1"/>
  <c r="L43" i="1"/>
  <c r="I43" i="1"/>
  <c r="H43" i="1"/>
  <c r="L42" i="1"/>
  <c r="I42" i="1"/>
  <c r="H42" i="1"/>
  <c r="L41" i="1"/>
  <c r="I41" i="1"/>
  <c r="H41" i="1"/>
  <c r="L40" i="1"/>
  <c r="I40" i="1"/>
  <c r="H40" i="1"/>
  <c r="L39" i="1"/>
  <c r="I39" i="1"/>
  <c r="H39" i="1"/>
  <c r="L38" i="1"/>
  <c r="I38" i="1"/>
  <c r="H38" i="1"/>
  <c r="L37" i="1"/>
  <c r="I37" i="1"/>
  <c r="H37" i="1"/>
  <c r="L36" i="1"/>
  <c r="I36" i="1"/>
  <c r="H36" i="1"/>
  <c r="L35" i="1"/>
  <c r="I35" i="1"/>
  <c r="H35" i="1"/>
  <c r="L34" i="1"/>
  <c r="I34" i="1"/>
  <c r="H34" i="1"/>
  <c r="L33" i="1"/>
  <c r="I33" i="1"/>
  <c r="H33" i="1"/>
  <c r="L32" i="1"/>
  <c r="I32" i="1"/>
  <c r="H32" i="1"/>
  <c r="L31" i="1"/>
  <c r="I31" i="1"/>
  <c r="H31" i="1"/>
  <c r="L30" i="1"/>
  <c r="I30" i="1"/>
  <c r="H30" i="1"/>
  <c r="L29" i="1"/>
  <c r="I29" i="1"/>
  <c r="H29" i="1"/>
  <c r="L28" i="1"/>
  <c r="I28" i="1"/>
  <c r="H28" i="1"/>
  <c r="L27" i="1"/>
  <c r="I27" i="1"/>
  <c r="H27" i="1"/>
  <c r="L26" i="1"/>
  <c r="I26" i="1"/>
  <c r="H26" i="1"/>
  <c r="L25" i="1"/>
  <c r="I25" i="1"/>
  <c r="H25" i="1"/>
  <c r="L24" i="1"/>
  <c r="I24" i="1"/>
  <c r="H24" i="1"/>
  <c r="L23" i="1"/>
  <c r="I23" i="1"/>
  <c r="H23" i="1"/>
  <c r="L22" i="1"/>
  <c r="I22" i="1"/>
  <c r="H22" i="1"/>
  <c r="L21" i="1"/>
  <c r="I21" i="1"/>
  <c r="H21" i="1"/>
  <c r="L20" i="1"/>
  <c r="I20" i="1"/>
  <c r="H20" i="1"/>
  <c r="L19" i="1"/>
  <c r="I19" i="1"/>
  <c r="H19" i="1"/>
  <c r="L18" i="1"/>
  <c r="I18" i="1"/>
  <c r="H18" i="1"/>
  <c r="L17" i="1"/>
  <c r="I17" i="1"/>
  <c r="H17" i="1"/>
  <c r="L16" i="1"/>
  <c r="I16" i="1"/>
  <c r="H16" i="1"/>
  <c r="L15" i="1"/>
  <c r="I15" i="1"/>
  <c r="H15" i="1"/>
  <c r="L14" i="1"/>
  <c r="I14" i="1"/>
  <c r="H14" i="1"/>
  <c r="L13" i="1"/>
  <c r="I13" i="1"/>
  <c r="H13" i="1"/>
  <c r="L12" i="1"/>
  <c r="I12" i="1"/>
  <c r="H12" i="1"/>
  <c r="L11" i="1"/>
  <c r="I11" i="1"/>
  <c r="H11" i="1"/>
  <c r="L10" i="1"/>
  <c r="I10" i="1"/>
  <c r="H10" i="1"/>
  <c r="L9" i="1"/>
  <c r="I9" i="1"/>
  <c r="H9" i="1"/>
  <c r="L8" i="1"/>
  <c r="I8" i="1"/>
  <c r="H8" i="1"/>
  <c r="L7" i="1"/>
  <c r="I7" i="1"/>
  <c r="H7" i="1"/>
  <c r="L6" i="1"/>
  <c r="I6" i="1"/>
  <c r="H6" i="1"/>
  <c r="L5" i="1"/>
  <c r="I5" i="1"/>
  <c r="H5" i="1"/>
  <c r="L4" i="1"/>
  <c r="I4" i="1"/>
  <c r="H4" i="1"/>
  <c r="L3" i="1"/>
  <c r="I3" i="1"/>
  <c r="H3" i="1"/>
  <c r="L2" i="1"/>
  <c r="I2" i="1"/>
  <c r="H2" i="1"/>
  <c r="L5" i="2" l="1"/>
  <c r="L6" i="2"/>
  <c r="L41" i="2"/>
  <c r="L14" i="3"/>
  <c r="L42" i="3"/>
  <c r="L44" i="3"/>
  <c r="L31" i="2"/>
  <c r="L4" i="2"/>
  <c r="L17" i="2"/>
  <c r="L30" i="2"/>
  <c r="L45" i="2"/>
  <c r="L47" i="2"/>
  <c r="L3" i="3"/>
  <c r="L18" i="3"/>
  <c r="L20" i="3"/>
  <c r="L33" i="3"/>
  <c r="L35" i="3"/>
  <c r="L46" i="3"/>
  <c r="L7" i="2"/>
  <c r="L36" i="2"/>
  <c r="L24" i="3"/>
  <c r="L32" i="3"/>
  <c r="L41" i="3"/>
  <c r="L9" i="2"/>
  <c r="L29" i="2"/>
  <c r="K51" i="3"/>
  <c r="L17" i="3"/>
  <c r="L46" i="2"/>
  <c r="L4" i="3"/>
  <c r="L19" i="3"/>
  <c r="L20" i="2"/>
  <c r="L22" i="2"/>
  <c r="L33" i="2"/>
  <c r="L35" i="2"/>
  <c r="L6" i="3"/>
  <c r="L8" i="3"/>
  <c r="L38" i="3"/>
  <c r="K48" i="2"/>
  <c r="L2" i="3"/>
</calcChain>
</file>

<file path=xl/sharedStrings.xml><?xml version="1.0" encoding="utf-8"?>
<sst xmlns="http://schemas.openxmlformats.org/spreadsheetml/2006/main" count="600" uniqueCount="104">
  <si>
    <t>内容</t>
  </si>
  <si>
    <t>内容类型</t>
  </si>
  <si>
    <t>内容发布时间</t>
  </si>
  <si>
    <t>本期阅读/观看量</t>
  </si>
  <si>
    <t>本期收益</t>
  </si>
  <si>
    <t>累计阅读/观看量</t>
  </si>
  <si>
    <t>累计收益</t>
  </si>
  <si>
    <t>新增浏览</t>
  </si>
  <si>
    <t>新增收益</t>
  </si>
  <si>
    <t>L0524</t>
  </si>
  <si>
    <t>月球和火星什么时候能具备哥伦布发现新大陆的价值？</t>
  </si>
  <si>
    <t>回答</t>
  </si>
  <si>
    <t>只要了解了人造卫星、飞机、流星、彗星，知道它们是什么，我们看到时就很容易区分出来。飞机拍出...</t>
  </si>
  <si>
    <t>想法</t>
  </si>
  <si>
    <t>如何肉眼区分人造卫星、飞机、流星、彗星?</t>
  </si>
  <si>
    <t>早餐必须吃饱吃好，补充一天所需营养，然后一天活力满满，精力旺盛。营养均衡的早餐，关键在于合...</t>
  </si>
  <si>
    <t>花椒靠种子繁育，种子需脱脂脱蜡处理才能发芽。春天地温上来，种子吸饱水分，种壳裂开，主根往下...</t>
  </si>
  <si>
    <t>为什么同样白天，地球上是一片明亮，而外太空却是添黑一片？</t>
  </si>
  <si>
    <t>古星图上的星宿分野和十二州国，是按星座来规划地上的城市吗？</t>
  </si>
  <si>
    <t>你是用什么态度来对待一日之早餐的呢？</t>
  </si>
  <si>
    <t>中微子就是难以捕捉，中微子探测器建在深海的目的就是屏蔽环境的影响。中微子不带电、质量极微小...</t>
  </si>
  <si>
    <t>你知道花椒是怎么生长的吗？</t>
  </si>
  <si>
    <t>未来食品企业的发展方向是哪些？</t>
  </si>
  <si>
    <t>0628顶77,42,21,7，3</t>
  </si>
  <si>
    <t>有大气层的星球才有风，月球几乎没有大气层，所以肯定没有风。金星和火星都有自己的大气层，都会...</t>
  </si>
  <si>
    <t>风雨雷电是自然法则，在月球金星火星上面也有吗？</t>
  </si>
  <si>
    <t>在农村要怎么养狗比较好啊，是吃狗粮呢，还是吃人吃的饭呢，那些便宜的狗粮能吃吗？</t>
  </si>
  <si>
    <t>0629顶96,41,13,15,1</t>
  </si>
  <si>
    <t>库仑扭秤个卡文迪许扭秤有什么区别吗？</t>
  </si>
  <si>
    <t>0626顶129,31,5,6,2</t>
  </si>
  <si>
    <t>0629撤145,40,9,6,3</t>
  </si>
  <si>
    <t>牛磺酸在食品添加剂中占有很重要的地位。那牛磺酸在人和动物体内，到底起什么作用？ #食品添加...</t>
  </si>
  <si>
    <t>视频</t>
  </si>
  <si>
    <t>我国南海「海铃」中微子望远镜为何建于水下 3500 米？其科学目标有哪些？</t>
  </si>
  <si>
    <t>0625顶98,39,9，8,6</t>
  </si>
  <si>
    <t>0628撤137,51,10,11,8</t>
  </si>
  <si>
    <t>如果宇宙中所有的恒星都像R136A1一样亮（太阳除外），那夜晚的天空会有多亮？</t>
  </si>
  <si>
    <t>狗狗通常在什么时间点进食？</t>
  </si>
  <si>
    <t>老父亲说表姐家同时供养三个大学生背负沉重经济负担根本不值得，请大家说说到底是不是呢？？</t>
  </si>
  <si>
    <t>可以分享一下你眼中夏天的天空吗？</t>
  </si>
  <si>
    <t>0623顶105,35,6,9,2</t>
  </si>
  <si>
    <t>0626撤133,51,15,12,3</t>
  </si>
  <si>
    <t>0701荐144,52,15,13,3</t>
  </si>
  <si>
    <t>古代没有大棚蔬菜，古人一年四季到底吃什么青菜？</t>
  </si>
  <si>
    <t>可以分享一张你记录过的星空吗？</t>
  </si>
  <si>
    <t>0617顶140,36,14,5,10</t>
  </si>
  <si>
    <t>0625撤203,57,31,9,11</t>
  </si>
  <si>
    <t>鸡蛋里面该不该添加角黄素？</t>
  </si>
  <si>
    <t>夏季夜空中最亮的星是什么星？</t>
  </si>
  <si>
    <t>月亮的上弦月和下弦月是如何区分的？</t>
  </si>
  <si>
    <t>如何养护香椿树芽，使其顺利长成大树？</t>
  </si>
  <si>
    <t>幼犬不吃狗粮了怎么办？</t>
  </si>
  <si>
    <t>你有没有在阳台种过无花果，收获果实了吗？</t>
  </si>
  <si>
    <t>鸡蛋羹的水用凉白开还是矿泉水？</t>
  </si>
  <si>
    <t>在光合作用中，为什么植物以 CO₂ 为原料，而不是其他气体？</t>
  </si>
  <si>
    <t>养狗狗的朋友们，狗狗不爱吃饭怎么办？</t>
  </si>
  <si>
    <t>如果月亮真的在远离地球，那么没有月亮的地球会不会没有黑夜？</t>
  </si>
  <si>
    <t>请问这颗特别亮的是什么星星？</t>
  </si>
  <si>
    <t>黑洞中心是一个没有体积的点吗？如果是的话那原本的物质去哪里了？</t>
  </si>
  <si>
    <t>天王星自转一圈，在行星各地看到的太阳在天球上的运动轨迹都是什么样？</t>
  </si>
  <si>
    <t>如何学会辨认星星？</t>
  </si>
  <si>
    <t>好心人可以帮我看看有哪些好辨认星星吗？</t>
  </si>
  <si>
    <t>什么是上弦月？什么是下弦月？</t>
  </si>
  <si>
    <t>我国高能同步辐射光源 2025 年底试运行，亮度比太阳亮万亿倍，这具有哪些重大意义？</t>
  </si>
  <si>
    <t>宇宙之大，产生生命的概率应该差不多吧？为什么只有地球上有那么多生命？地球凭什么有特殊性？实验基地吗？</t>
  </si>
  <si>
    <t>在澳大利亚看太阳是不是与河北省看太阳方位不一样？</t>
  </si>
  <si>
    <t>30 岁零基础，想系统学习天文学知识，应该从哪里开始？</t>
  </si>
  <si>
    <t>现在是 21 世纪，请问地球的资源真的会有匮乏的那一天吗？</t>
  </si>
  <si>
    <t>猪牛羊马都是有蹄动物，为什么牛羊马的蹄子都是非常坚硬角质层，而猪蹄子却有肉包裹呢？</t>
  </si>
  <si>
    <t>让科学家终生抱憾的星，我们如何看到？</t>
  </si>
  <si>
    <t>文章</t>
  </si>
  <si>
    <t>求助植物鉴别，请问这株3.5米高的野草是什么品种？</t>
  </si>
  <si>
    <t>下午老早就出现了月亮，一边太阳一边月亮，这是为什么呢？</t>
  </si>
  <si>
    <t>都说长得越快的树木越不成材，但为什么竹子长那么快强度却很好，甚至可以用来做建材呢？</t>
  </si>
  <si>
    <t>大家在家里都是怎么调芝麻酱的?</t>
  </si>
  <si>
    <t>拍摄太阳必须加滤光膜，否则会毁镜头。这就像你直接用眼睛看太阳会被刺伤。戴上墨镜再看，太阳就...</t>
  </si>
  <si>
    <t>为啥手机拍的太阳，会变成黑夜中一颗明星?</t>
  </si>
  <si>
    <t>0702撤120,53,32,13,5</t>
  </si>
  <si>
    <t>0702顶175,35,15,7,3</t>
  </si>
  <si>
    <t>在古代，世界各地都以365天为一个周期年吗？</t>
  </si>
  <si>
    <t>中国古代在不知道日心说的前提下，是怎么准确计算出二十四节气的？</t>
  </si>
  <si>
    <t>太阳演化到红巨星阶段，确实存在宜居带，但位置会大幅外移。此时太阳总光度飙升到现在太阳的上千...</t>
  </si>
  <si>
    <t>太阳在变成红巨星的时候，会不会引力变弱到吞噬不到地球，导致地球仍然处在适宜带？</t>
  </si>
  <si>
    <t>0703顶98,32,5,6,1</t>
  </si>
  <si>
    <t>0703撤150,54,34,19,3</t>
  </si>
  <si>
    <t>0703荐149,51,10,12,8</t>
  </si>
  <si>
    <t>宣称「更接近母乳」的羊奶粉，营养价值真有那么高吗？</t>
  </si>
  <si>
    <t>二十八星宿与西方星座在划分逻辑上有哪些本质区别？</t>
  </si>
  <si>
    <t>请问各位天文大佬，怎么入门观星啊？</t>
  </si>
  <si>
    <t>想认星星怎么入门啊？</t>
  </si>
  <si>
    <t>E/D</t>
  </si>
  <si>
    <t>G/F</t>
  </si>
  <si>
    <t>前日差</t>
  </si>
  <si>
    <t>收益差</t>
  </si>
  <si>
    <t>L0704</t>
  </si>
  <si>
    <t>前日M</t>
  </si>
  <si>
    <t>前日N</t>
  </si>
  <si>
    <t>前日O</t>
  </si>
  <si>
    <t>菟丝子没有叶绿体，不能进行光合作用。它们依靠什么吸收养分来生存？它的药用价值是什么？能不能人工养殖？</t>
  </si>
  <si>
    <t>合计</t>
  </si>
  <si>
    <t>L0705</t>
  </si>
  <si>
    <t>对比写程序完成与手动完成，2天与2分钟，到底哪一种方式更适合？知乎电脑版“收益分析”项，默...</t>
  </si>
  <si>
    <t>6 月以来金星高悬夜空，它达到一年中地平高度最高点的天文原因是什么？</t>
  </si>
  <si>
    <t>如何知道你的狗狗生活的很快乐？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</si>
</sst>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_ "/>
  </numFmts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49" fontId="0" fillId="0" borderId="0" xfId="0" applyNumberFormat="1">
      <alignment vertical="center"/>
    </xf>
    <xf numFmtId="177" fontId="0" fillId="2" borderId="0" xfId="0" applyNumberForma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"/>
  <sheetViews>
    <sheetView topLeftCell="A25" workbookViewId="0">
      <selection activeCell="K2" sqref="K2"/>
    </sheetView>
  </sheetViews>
  <sheetFormatPr defaultColWidth="10" defaultRowHeight="14.4" x14ac:dyDescent="0.25"/>
  <cols>
    <col min="1" max="1" width="59.33203125" customWidth="1"/>
    <col min="2" max="2" width="2.4414062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10</v>
      </c>
      <c r="B2" t="s">
        <v>11</v>
      </c>
      <c r="C2" s="1">
        <v>46203</v>
      </c>
      <c r="D2">
        <v>25</v>
      </c>
      <c r="E2">
        <v>470</v>
      </c>
      <c r="F2">
        <v>25</v>
      </c>
      <c r="G2">
        <v>470</v>
      </c>
      <c r="H2" s="2">
        <f t="shared" ref="H2:H51" si="0">E2/D2</f>
        <v>18.8</v>
      </c>
      <c r="I2" s="2">
        <f t="shared" ref="I2:I51" si="1">G2/F2</f>
        <v>18.8</v>
      </c>
      <c r="J2" s="3">
        <v>25</v>
      </c>
      <c r="K2" s="5">
        <v>470</v>
      </c>
      <c r="L2" s="2">
        <f t="shared" ref="L2:L51" si="2">IFERROR(K2/J2,)</f>
        <v>18.8</v>
      </c>
      <c r="M2" s="4"/>
    </row>
    <row r="3" spans="1:14" x14ac:dyDescent="0.25">
      <c r="A3" t="s">
        <v>12</v>
      </c>
      <c r="B3" t="s">
        <v>13</v>
      </c>
      <c r="C3" s="1">
        <v>46203</v>
      </c>
      <c r="D3">
        <v>382</v>
      </c>
      <c r="E3">
        <v>93</v>
      </c>
      <c r="F3">
        <v>382</v>
      </c>
      <c r="G3">
        <v>93</v>
      </c>
      <c r="H3" s="2">
        <f t="shared" si="0"/>
        <v>0.24345549738219896</v>
      </c>
      <c r="I3" s="2">
        <f t="shared" si="1"/>
        <v>0.24345549738219896</v>
      </c>
      <c r="J3" s="3">
        <v>382</v>
      </c>
      <c r="K3" s="5">
        <v>93</v>
      </c>
      <c r="L3" s="2">
        <f t="shared" si="2"/>
        <v>0.24345549738219896</v>
      </c>
      <c r="M3" s="4"/>
    </row>
    <row r="4" spans="1:14" x14ac:dyDescent="0.25">
      <c r="A4" t="s">
        <v>14</v>
      </c>
      <c r="B4" t="s">
        <v>11</v>
      </c>
      <c r="C4" s="1">
        <v>46202</v>
      </c>
      <c r="D4">
        <v>78</v>
      </c>
      <c r="E4">
        <v>814</v>
      </c>
      <c r="F4">
        <v>78</v>
      </c>
      <c r="G4">
        <v>814</v>
      </c>
      <c r="H4" s="2">
        <f t="shared" si="0"/>
        <v>10.435897435897436</v>
      </c>
      <c r="I4" s="2">
        <f t="shared" si="1"/>
        <v>10.435897435897436</v>
      </c>
      <c r="J4" s="3">
        <v>36</v>
      </c>
      <c r="K4" s="5">
        <v>306</v>
      </c>
      <c r="L4" s="2">
        <f t="shared" si="2"/>
        <v>8.5</v>
      </c>
      <c r="M4" s="4"/>
    </row>
    <row r="5" spans="1:14" x14ac:dyDescent="0.25">
      <c r="A5" t="s">
        <v>15</v>
      </c>
      <c r="B5" t="s">
        <v>13</v>
      </c>
      <c r="C5" s="1">
        <v>46202</v>
      </c>
      <c r="D5">
        <v>395</v>
      </c>
      <c r="E5">
        <v>183</v>
      </c>
      <c r="F5">
        <v>395</v>
      </c>
      <c r="G5">
        <v>183</v>
      </c>
      <c r="H5" s="2">
        <f t="shared" si="0"/>
        <v>0.46329113924050636</v>
      </c>
      <c r="I5" s="2">
        <f t="shared" si="1"/>
        <v>0.46329113924050636</v>
      </c>
      <c r="J5" s="3">
        <v>138</v>
      </c>
      <c r="K5" s="5">
        <v>82</v>
      </c>
      <c r="L5" s="2">
        <f t="shared" si="2"/>
        <v>0.59420289855072461</v>
      </c>
      <c r="M5" s="4"/>
    </row>
    <row r="6" spans="1:14" x14ac:dyDescent="0.25">
      <c r="A6" t="s">
        <v>16</v>
      </c>
      <c r="B6" t="s">
        <v>13</v>
      </c>
      <c r="C6" s="1">
        <v>46201</v>
      </c>
      <c r="D6">
        <v>364</v>
      </c>
      <c r="E6">
        <v>310</v>
      </c>
      <c r="F6">
        <v>364</v>
      </c>
      <c r="G6">
        <v>310</v>
      </c>
      <c r="H6" s="2">
        <f t="shared" si="0"/>
        <v>0.85164835164835162</v>
      </c>
      <c r="I6" s="2">
        <f t="shared" si="1"/>
        <v>0.85164835164835162</v>
      </c>
      <c r="J6" s="3">
        <v>78</v>
      </c>
      <c r="K6" s="5">
        <v>37</v>
      </c>
      <c r="L6" s="2">
        <f t="shared" si="2"/>
        <v>0.47435897435897434</v>
      </c>
      <c r="M6" s="4"/>
    </row>
    <row r="7" spans="1:14" x14ac:dyDescent="0.25">
      <c r="A7" t="s">
        <v>17</v>
      </c>
      <c r="B7" t="s">
        <v>11</v>
      </c>
      <c r="C7" s="1">
        <v>46201</v>
      </c>
      <c r="D7">
        <v>256</v>
      </c>
      <c r="E7">
        <v>967</v>
      </c>
      <c r="F7">
        <v>256</v>
      </c>
      <c r="G7">
        <v>967</v>
      </c>
      <c r="H7" s="2">
        <f t="shared" si="0"/>
        <v>3.77734375</v>
      </c>
      <c r="I7" s="2">
        <f t="shared" si="1"/>
        <v>3.77734375</v>
      </c>
      <c r="J7" s="3">
        <v>82</v>
      </c>
      <c r="K7" s="5">
        <v>172</v>
      </c>
      <c r="L7" s="2">
        <f t="shared" si="2"/>
        <v>2.0975609756097562</v>
      </c>
      <c r="M7" s="4"/>
    </row>
    <row r="8" spans="1:14" x14ac:dyDescent="0.25">
      <c r="A8" t="s">
        <v>18</v>
      </c>
      <c r="B8" t="s">
        <v>11</v>
      </c>
      <c r="C8" s="1">
        <v>46200</v>
      </c>
      <c r="D8">
        <v>91</v>
      </c>
      <c r="E8">
        <v>353</v>
      </c>
      <c r="F8">
        <v>91</v>
      </c>
      <c r="G8">
        <v>353</v>
      </c>
      <c r="H8" s="2">
        <f t="shared" si="0"/>
        <v>3.8791208791208791</v>
      </c>
      <c r="I8" s="2">
        <f t="shared" si="1"/>
        <v>3.8791208791208791</v>
      </c>
      <c r="J8" s="3">
        <v>21</v>
      </c>
      <c r="K8" s="5">
        <v>63</v>
      </c>
      <c r="L8" s="2">
        <f t="shared" si="2"/>
        <v>3</v>
      </c>
      <c r="M8" s="4"/>
    </row>
    <row r="9" spans="1:14" x14ac:dyDescent="0.25">
      <c r="A9" t="s">
        <v>19</v>
      </c>
      <c r="B9" t="s">
        <v>11</v>
      </c>
      <c r="C9" s="1">
        <v>46199</v>
      </c>
      <c r="D9">
        <v>115</v>
      </c>
      <c r="E9">
        <v>430</v>
      </c>
      <c r="F9">
        <v>115</v>
      </c>
      <c r="G9">
        <v>430</v>
      </c>
      <c r="H9" s="2">
        <f t="shared" si="0"/>
        <v>3.7391304347826089</v>
      </c>
      <c r="I9" s="2">
        <f t="shared" si="1"/>
        <v>3.7391304347826089</v>
      </c>
      <c r="J9" s="3">
        <v>6</v>
      </c>
      <c r="K9" s="5">
        <v>19</v>
      </c>
      <c r="L9" s="2">
        <f t="shared" si="2"/>
        <v>3.1666666666666665</v>
      </c>
      <c r="M9" s="4"/>
    </row>
    <row r="10" spans="1:14" x14ac:dyDescent="0.25">
      <c r="A10" t="s">
        <v>20</v>
      </c>
      <c r="B10" t="s">
        <v>13</v>
      </c>
      <c r="C10" s="1">
        <v>46199</v>
      </c>
      <c r="D10">
        <v>575</v>
      </c>
      <c r="E10">
        <v>198</v>
      </c>
      <c r="F10">
        <v>575</v>
      </c>
      <c r="G10">
        <v>198</v>
      </c>
      <c r="H10" s="2">
        <f t="shared" si="0"/>
        <v>0.34434782608695652</v>
      </c>
      <c r="I10" s="2">
        <f t="shared" si="1"/>
        <v>0.34434782608695652</v>
      </c>
      <c r="J10" s="3">
        <v>15</v>
      </c>
      <c r="K10" s="5">
        <v>0</v>
      </c>
      <c r="L10" s="2">
        <f t="shared" si="2"/>
        <v>0</v>
      </c>
      <c r="M10" s="4"/>
    </row>
    <row r="11" spans="1:14" x14ac:dyDescent="0.25">
      <c r="A11" t="s">
        <v>21</v>
      </c>
      <c r="B11" t="s">
        <v>11</v>
      </c>
      <c r="C11" s="1">
        <v>46198</v>
      </c>
      <c r="D11">
        <v>166</v>
      </c>
      <c r="E11">
        <v>1273</v>
      </c>
      <c r="F11">
        <v>166</v>
      </c>
      <c r="G11">
        <v>1273</v>
      </c>
      <c r="H11" s="2">
        <f t="shared" si="0"/>
        <v>7.668674698795181</v>
      </c>
      <c r="I11" s="2">
        <f t="shared" si="1"/>
        <v>7.668674698795181</v>
      </c>
      <c r="J11" s="3">
        <v>8</v>
      </c>
      <c r="K11" s="5">
        <v>76</v>
      </c>
      <c r="L11" s="2">
        <f t="shared" si="2"/>
        <v>9.5</v>
      </c>
      <c r="M11" s="4"/>
    </row>
    <row r="12" spans="1:14" x14ac:dyDescent="0.25">
      <c r="A12" t="s">
        <v>22</v>
      </c>
      <c r="B12" t="s">
        <v>11</v>
      </c>
      <c r="C12" s="1">
        <v>46197</v>
      </c>
      <c r="D12">
        <v>113</v>
      </c>
      <c r="E12">
        <v>574</v>
      </c>
      <c r="F12">
        <v>113</v>
      </c>
      <c r="G12">
        <v>574</v>
      </c>
      <c r="H12" s="2">
        <f t="shared" si="0"/>
        <v>5.0796460176991154</v>
      </c>
      <c r="I12" s="2">
        <f t="shared" si="1"/>
        <v>5.0796460176991154</v>
      </c>
      <c r="J12" s="3">
        <v>13</v>
      </c>
      <c r="K12" s="5">
        <v>83</v>
      </c>
      <c r="L12" s="2">
        <f t="shared" si="2"/>
        <v>6.384615384615385</v>
      </c>
      <c r="M12" s="4" t="s">
        <v>23</v>
      </c>
    </row>
    <row r="13" spans="1:14" x14ac:dyDescent="0.25">
      <c r="A13" t="s">
        <v>24</v>
      </c>
      <c r="B13" t="s">
        <v>13</v>
      </c>
      <c r="C13" s="1">
        <v>46196</v>
      </c>
      <c r="D13">
        <v>381</v>
      </c>
      <c r="E13">
        <v>73</v>
      </c>
      <c r="F13">
        <v>901</v>
      </c>
      <c r="G13">
        <v>271</v>
      </c>
      <c r="H13" s="2">
        <f t="shared" si="0"/>
        <v>0.19160104986876642</v>
      </c>
      <c r="I13" s="2">
        <f t="shared" si="1"/>
        <v>0.30077691453940064</v>
      </c>
      <c r="J13" s="3">
        <v>14</v>
      </c>
      <c r="K13" s="5">
        <v>0</v>
      </c>
      <c r="L13" s="2">
        <f t="shared" si="2"/>
        <v>0</v>
      </c>
      <c r="M13" s="4"/>
    </row>
    <row r="14" spans="1:14" x14ac:dyDescent="0.25">
      <c r="A14" t="s">
        <v>25</v>
      </c>
      <c r="B14" t="s">
        <v>11</v>
      </c>
      <c r="C14" s="1">
        <v>46196</v>
      </c>
      <c r="D14">
        <v>98</v>
      </c>
      <c r="E14">
        <v>267</v>
      </c>
      <c r="F14">
        <v>171</v>
      </c>
      <c r="G14">
        <v>1158</v>
      </c>
      <c r="H14" s="2">
        <f t="shared" si="0"/>
        <v>2.7244897959183674</v>
      </c>
      <c r="I14" s="2">
        <f t="shared" si="1"/>
        <v>6.7719298245614032</v>
      </c>
      <c r="J14" s="3">
        <v>7</v>
      </c>
      <c r="K14" s="5">
        <v>38</v>
      </c>
      <c r="L14" s="2">
        <f t="shared" si="2"/>
        <v>5.4285714285714288</v>
      </c>
      <c r="M14" s="4"/>
    </row>
    <row r="15" spans="1:14" x14ac:dyDescent="0.25">
      <c r="A15" t="s">
        <v>26</v>
      </c>
      <c r="B15" t="s">
        <v>11</v>
      </c>
      <c r="C15" s="1">
        <v>46195</v>
      </c>
      <c r="D15">
        <v>49</v>
      </c>
      <c r="E15">
        <v>221</v>
      </c>
      <c r="F15">
        <v>127</v>
      </c>
      <c r="G15">
        <v>577</v>
      </c>
      <c r="H15" s="2">
        <f t="shared" si="0"/>
        <v>4.5102040816326534</v>
      </c>
      <c r="I15" s="2">
        <f t="shared" si="1"/>
        <v>4.5433070866141732</v>
      </c>
      <c r="J15" s="3">
        <v>20</v>
      </c>
      <c r="K15" s="5">
        <v>130</v>
      </c>
      <c r="L15" s="2">
        <f t="shared" si="2"/>
        <v>6.5</v>
      </c>
      <c r="M15" s="4" t="s">
        <v>27</v>
      </c>
    </row>
    <row r="16" spans="1:14" x14ac:dyDescent="0.25">
      <c r="A16" t="s">
        <v>28</v>
      </c>
      <c r="B16" t="s">
        <v>11</v>
      </c>
      <c r="C16" s="1">
        <v>46194</v>
      </c>
      <c r="D16">
        <v>57</v>
      </c>
      <c r="E16">
        <v>267</v>
      </c>
      <c r="F16">
        <v>150</v>
      </c>
      <c r="G16">
        <v>1024</v>
      </c>
      <c r="H16" s="2">
        <f t="shared" si="0"/>
        <v>4.6842105263157894</v>
      </c>
      <c r="I16" s="2">
        <f t="shared" si="1"/>
        <v>6.8266666666666671</v>
      </c>
      <c r="J16" s="3">
        <v>2</v>
      </c>
      <c r="K16" s="5">
        <v>0</v>
      </c>
      <c r="L16" s="2">
        <f t="shared" si="2"/>
        <v>0</v>
      </c>
      <c r="M16" s="4" t="s">
        <v>29</v>
      </c>
      <c r="N16" t="s">
        <v>30</v>
      </c>
    </row>
    <row r="17" spans="1:15" x14ac:dyDescent="0.25">
      <c r="A17" t="s">
        <v>31</v>
      </c>
      <c r="B17" t="s">
        <v>32</v>
      </c>
      <c r="C17" s="1">
        <v>46193</v>
      </c>
      <c r="D17">
        <v>20</v>
      </c>
      <c r="E17">
        <v>10</v>
      </c>
      <c r="F17">
        <v>141</v>
      </c>
      <c r="G17">
        <v>114</v>
      </c>
      <c r="H17" s="2">
        <f t="shared" si="0"/>
        <v>0.5</v>
      </c>
      <c r="I17" s="2">
        <f t="shared" si="1"/>
        <v>0.80851063829787229</v>
      </c>
      <c r="J17" s="3">
        <v>0</v>
      </c>
      <c r="K17" s="5">
        <v>0</v>
      </c>
      <c r="L17" s="2">
        <f t="shared" si="2"/>
        <v>0</v>
      </c>
      <c r="M17" s="4"/>
    </row>
    <row r="18" spans="1:15" x14ac:dyDescent="0.25">
      <c r="A18" t="s">
        <v>33</v>
      </c>
      <c r="B18" t="s">
        <v>11</v>
      </c>
      <c r="C18" s="1">
        <v>46193</v>
      </c>
      <c r="D18">
        <v>60</v>
      </c>
      <c r="E18">
        <v>477</v>
      </c>
      <c r="F18">
        <v>149</v>
      </c>
      <c r="G18">
        <v>1617</v>
      </c>
      <c r="H18" s="2">
        <f t="shared" si="0"/>
        <v>7.95</v>
      </c>
      <c r="I18" s="2">
        <f t="shared" si="1"/>
        <v>10.85234899328859</v>
      </c>
      <c r="J18" s="3">
        <v>3</v>
      </c>
      <c r="K18" s="5">
        <v>38</v>
      </c>
      <c r="L18" s="2">
        <f t="shared" si="2"/>
        <v>12.666666666666666</v>
      </c>
      <c r="M18" s="4" t="s">
        <v>34</v>
      </c>
      <c r="N18" t="s">
        <v>35</v>
      </c>
    </row>
    <row r="19" spans="1:15" x14ac:dyDescent="0.25">
      <c r="A19" t="s">
        <v>36</v>
      </c>
      <c r="B19" t="s">
        <v>11</v>
      </c>
      <c r="C19" s="1">
        <v>46192</v>
      </c>
      <c r="D19">
        <v>442</v>
      </c>
      <c r="E19">
        <v>152</v>
      </c>
      <c r="F19">
        <v>1978</v>
      </c>
      <c r="G19">
        <v>1204</v>
      </c>
      <c r="H19" s="2">
        <f t="shared" si="0"/>
        <v>0.34389140271493213</v>
      </c>
      <c r="I19" s="2">
        <f t="shared" si="1"/>
        <v>0.60869565217391308</v>
      </c>
      <c r="J19" s="3">
        <v>38</v>
      </c>
      <c r="K19" s="5">
        <v>38</v>
      </c>
      <c r="L19" s="2">
        <f t="shared" si="2"/>
        <v>1</v>
      </c>
      <c r="M19" s="4"/>
    </row>
    <row r="20" spans="1:15" x14ac:dyDescent="0.25">
      <c r="A20" t="s">
        <v>37</v>
      </c>
      <c r="B20" t="s">
        <v>11</v>
      </c>
      <c r="C20" s="1">
        <v>46191</v>
      </c>
      <c r="D20">
        <v>125</v>
      </c>
      <c r="E20">
        <v>53</v>
      </c>
      <c r="F20">
        <v>367</v>
      </c>
      <c r="G20">
        <v>218</v>
      </c>
      <c r="H20" s="2">
        <f t="shared" si="0"/>
        <v>0.42399999999999999</v>
      </c>
      <c r="I20" s="2">
        <f t="shared" si="1"/>
        <v>0.59400544959128065</v>
      </c>
      <c r="J20" s="3">
        <v>15</v>
      </c>
      <c r="K20" s="5">
        <v>0</v>
      </c>
      <c r="L20" s="2">
        <f t="shared" si="2"/>
        <v>0</v>
      </c>
      <c r="M20" s="4"/>
    </row>
    <row r="21" spans="1:15" x14ac:dyDescent="0.25">
      <c r="A21" t="s">
        <v>38</v>
      </c>
      <c r="B21" t="s">
        <v>11</v>
      </c>
      <c r="C21" s="1">
        <v>46190</v>
      </c>
      <c r="D21">
        <v>45</v>
      </c>
      <c r="E21">
        <v>2</v>
      </c>
      <c r="F21">
        <v>691</v>
      </c>
      <c r="G21">
        <v>6</v>
      </c>
      <c r="H21" s="2">
        <f t="shared" si="0"/>
        <v>4.4444444444444446E-2</v>
      </c>
      <c r="I21" s="2">
        <f t="shared" si="1"/>
        <v>8.6830680173661367E-3</v>
      </c>
      <c r="J21" s="3">
        <v>4</v>
      </c>
      <c r="K21" s="5">
        <v>0</v>
      </c>
      <c r="L21" s="2">
        <f t="shared" si="2"/>
        <v>0</v>
      </c>
      <c r="M21" s="4"/>
    </row>
    <row r="22" spans="1:15" x14ac:dyDescent="0.25">
      <c r="A22" t="s">
        <v>39</v>
      </c>
      <c r="B22" t="s">
        <v>11</v>
      </c>
      <c r="C22" s="1">
        <v>46189</v>
      </c>
      <c r="D22">
        <v>23</v>
      </c>
      <c r="E22">
        <v>325</v>
      </c>
      <c r="F22">
        <v>144</v>
      </c>
      <c r="G22">
        <v>922</v>
      </c>
      <c r="H22" s="2">
        <f t="shared" si="0"/>
        <v>14.130434782608695</v>
      </c>
      <c r="I22" s="2">
        <f t="shared" si="1"/>
        <v>6.4027777777777777</v>
      </c>
      <c r="J22" s="3">
        <v>2</v>
      </c>
      <c r="K22" s="5">
        <v>0</v>
      </c>
      <c r="L22" s="2">
        <f t="shared" si="2"/>
        <v>0</v>
      </c>
      <c r="M22" s="4" t="s">
        <v>40</v>
      </c>
      <c r="N22" t="s">
        <v>41</v>
      </c>
      <c r="O22" t="s">
        <v>42</v>
      </c>
    </row>
    <row r="23" spans="1:15" x14ac:dyDescent="0.25">
      <c r="A23" t="s">
        <v>43</v>
      </c>
      <c r="B23" t="s">
        <v>11</v>
      </c>
      <c r="C23" s="1">
        <v>46187</v>
      </c>
      <c r="D23">
        <v>252</v>
      </c>
      <c r="E23">
        <v>88</v>
      </c>
      <c r="F23">
        <v>11003</v>
      </c>
      <c r="G23">
        <v>784</v>
      </c>
      <c r="H23" s="2">
        <f t="shared" si="0"/>
        <v>0.34920634920634919</v>
      </c>
      <c r="I23" s="2">
        <f t="shared" si="1"/>
        <v>7.1253294556030175E-2</v>
      </c>
      <c r="J23" s="3">
        <v>37</v>
      </c>
      <c r="K23" s="5">
        <v>51</v>
      </c>
      <c r="L23" s="2">
        <f t="shared" si="2"/>
        <v>1.3783783783783783</v>
      </c>
      <c r="M23" s="4"/>
    </row>
    <row r="24" spans="1:15" x14ac:dyDescent="0.25">
      <c r="A24" t="s">
        <v>44</v>
      </c>
      <c r="B24" t="s">
        <v>11</v>
      </c>
      <c r="C24" s="1">
        <v>46183</v>
      </c>
      <c r="D24">
        <v>7</v>
      </c>
      <c r="E24">
        <v>38</v>
      </c>
      <c r="F24">
        <v>209</v>
      </c>
      <c r="G24">
        <v>1000</v>
      </c>
      <c r="H24" s="2">
        <f t="shared" si="0"/>
        <v>5.4285714285714288</v>
      </c>
      <c r="I24" s="2">
        <f t="shared" si="1"/>
        <v>4.7846889952153111</v>
      </c>
      <c r="J24" s="3">
        <v>0</v>
      </c>
      <c r="K24" s="5">
        <v>0</v>
      </c>
      <c r="L24" s="2">
        <f t="shared" si="2"/>
        <v>0</v>
      </c>
      <c r="M24" s="4" t="s">
        <v>45</v>
      </c>
      <c r="N24" t="s">
        <v>46</v>
      </c>
    </row>
    <row r="25" spans="1:15" x14ac:dyDescent="0.25">
      <c r="A25" t="s">
        <v>47</v>
      </c>
      <c r="B25" t="s">
        <v>11</v>
      </c>
      <c r="C25" s="1">
        <v>46182</v>
      </c>
      <c r="D25">
        <v>2</v>
      </c>
      <c r="E25">
        <v>15</v>
      </c>
      <c r="F25">
        <v>121</v>
      </c>
      <c r="G25">
        <v>277</v>
      </c>
      <c r="H25" s="2">
        <f t="shared" si="0"/>
        <v>7.5</v>
      </c>
      <c r="I25" s="2">
        <f t="shared" si="1"/>
        <v>2.2892561983471076</v>
      </c>
      <c r="J25" s="3">
        <v>2</v>
      </c>
      <c r="K25" s="5">
        <v>15</v>
      </c>
      <c r="L25" s="2">
        <f t="shared" si="2"/>
        <v>7.5</v>
      </c>
      <c r="M25" s="4"/>
    </row>
    <row r="26" spans="1:15" x14ac:dyDescent="0.25">
      <c r="A26" t="s">
        <v>48</v>
      </c>
      <c r="B26" t="s">
        <v>11</v>
      </c>
      <c r="C26" s="1">
        <v>46177</v>
      </c>
      <c r="D26">
        <v>28</v>
      </c>
      <c r="E26">
        <v>38</v>
      </c>
      <c r="F26">
        <v>340</v>
      </c>
      <c r="G26">
        <v>665</v>
      </c>
      <c r="H26" s="2">
        <f t="shared" si="0"/>
        <v>1.3571428571428572</v>
      </c>
      <c r="I26" s="2">
        <f t="shared" si="1"/>
        <v>1.9558823529411764</v>
      </c>
      <c r="J26" s="3">
        <v>2</v>
      </c>
      <c r="K26" s="5">
        <v>0</v>
      </c>
      <c r="L26" s="2">
        <f t="shared" si="2"/>
        <v>0</v>
      </c>
      <c r="M26" s="4"/>
    </row>
    <row r="27" spans="1:15" x14ac:dyDescent="0.25">
      <c r="A27" t="s">
        <v>49</v>
      </c>
      <c r="B27" t="s">
        <v>11</v>
      </c>
      <c r="C27" s="1">
        <v>46173</v>
      </c>
      <c r="D27">
        <v>22</v>
      </c>
      <c r="E27">
        <v>19</v>
      </c>
      <c r="F27">
        <v>373</v>
      </c>
      <c r="G27">
        <v>481</v>
      </c>
      <c r="H27" s="2">
        <f t="shared" si="0"/>
        <v>0.86363636363636365</v>
      </c>
      <c r="I27" s="2">
        <f t="shared" si="1"/>
        <v>1.2895442359249329</v>
      </c>
      <c r="J27" s="3">
        <v>3</v>
      </c>
      <c r="K27" s="5">
        <v>0</v>
      </c>
      <c r="L27" s="2">
        <f t="shared" si="2"/>
        <v>0</v>
      </c>
      <c r="M27" s="4"/>
    </row>
    <row r="28" spans="1:15" x14ac:dyDescent="0.25">
      <c r="A28" t="s">
        <v>50</v>
      </c>
      <c r="B28" t="s">
        <v>11</v>
      </c>
      <c r="C28" s="1">
        <v>46172</v>
      </c>
      <c r="D28">
        <v>3</v>
      </c>
      <c r="E28">
        <v>7</v>
      </c>
      <c r="F28">
        <v>184</v>
      </c>
      <c r="G28">
        <v>144</v>
      </c>
      <c r="H28" s="2">
        <f t="shared" si="0"/>
        <v>2.3333333333333335</v>
      </c>
      <c r="I28" s="2">
        <f t="shared" si="1"/>
        <v>0.78260869565217395</v>
      </c>
      <c r="J28" s="3">
        <v>0</v>
      </c>
      <c r="K28" s="5">
        <v>0</v>
      </c>
      <c r="L28" s="2">
        <f t="shared" si="2"/>
        <v>0</v>
      </c>
      <c r="M28" s="4"/>
      <c r="N28" s="4"/>
    </row>
    <row r="29" spans="1:15" x14ac:dyDescent="0.25">
      <c r="A29" t="s">
        <v>51</v>
      </c>
      <c r="B29" t="s">
        <v>11</v>
      </c>
      <c r="C29" s="1">
        <v>46168</v>
      </c>
      <c r="D29">
        <v>3</v>
      </c>
      <c r="E29">
        <v>24</v>
      </c>
      <c r="F29">
        <v>127</v>
      </c>
      <c r="G29">
        <v>191</v>
      </c>
      <c r="H29" s="2">
        <f t="shared" si="0"/>
        <v>8</v>
      </c>
      <c r="I29" s="2">
        <f t="shared" si="1"/>
        <v>1.5039370078740157</v>
      </c>
      <c r="J29" s="3">
        <v>0</v>
      </c>
      <c r="K29" s="5">
        <v>0</v>
      </c>
      <c r="L29" s="2">
        <f t="shared" si="2"/>
        <v>0</v>
      </c>
      <c r="M29" s="4"/>
    </row>
    <row r="30" spans="1:15" x14ac:dyDescent="0.25">
      <c r="A30" t="s">
        <v>52</v>
      </c>
      <c r="B30" t="s">
        <v>11</v>
      </c>
      <c r="C30" s="1">
        <v>46164</v>
      </c>
      <c r="D30">
        <v>35</v>
      </c>
      <c r="E30">
        <v>12</v>
      </c>
      <c r="F30">
        <v>581</v>
      </c>
      <c r="G30">
        <v>240</v>
      </c>
      <c r="H30" s="2">
        <f t="shared" si="0"/>
        <v>0.34285714285714286</v>
      </c>
      <c r="I30" s="2">
        <f t="shared" si="1"/>
        <v>0.41308089500860584</v>
      </c>
      <c r="J30" s="3">
        <v>3</v>
      </c>
      <c r="K30" s="5">
        <v>6</v>
      </c>
      <c r="L30" s="2">
        <f t="shared" si="2"/>
        <v>2</v>
      </c>
      <c r="M30" s="4"/>
    </row>
    <row r="31" spans="1:15" x14ac:dyDescent="0.25">
      <c r="A31" t="s">
        <v>53</v>
      </c>
      <c r="B31" t="s">
        <v>11</v>
      </c>
      <c r="C31" s="1">
        <v>46156</v>
      </c>
      <c r="D31">
        <v>8</v>
      </c>
      <c r="E31">
        <v>5</v>
      </c>
      <c r="F31">
        <v>437</v>
      </c>
      <c r="G31">
        <v>213</v>
      </c>
      <c r="H31" s="2">
        <f t="shared" si="0"/>
        <v>0.625</v>
      </c>
      <c r="I31" s="2">
        <f t="shared" si="1"/>
        <v>0.48741418764302058</v>
      </c>
      <c r="J31" s="3">
        <v>0</v>
      </c>
      <c r="K31" s="5">
        <v>0</v>
      </c>
      <c r="L31" s="2">
        <f t="shared" si="2"/>
        <v>0</v>
      </c>
      <c r="M31" s="4"/>
    </row>
    <row r="32" spans="1:15" x14ac:dyDescent="0.25">
      <c r="A32" t="s">
        <v>54</v>
      </c>
      <c r="B32" t="s">
        <v>11</v>
      </c>
      <c r="C32" s="1">
        <v>46142</v>
      </c>
      <c r="D32">
        <v>9</v>
      </c>
      <c r="E32">
        <v>30</v>
      </c>
      <c r="F32">
        <v>3158</v>
      </c>
      <c r="G32">
        <v>1782</v>
      </c>
      <c r="H32" s="2">
        <f t="shared" si="0"/>
        <v>3.3333333333333335</v>
      </c>
      <c r="I32" s="2">
        <f t="shared" si="1"/>
        <v>0.56428119062697912</v>
      </c>
      <c r="J32" s="3">
        <v>0</v>
      </c>
      <c r="K32" s="5">
        <v>0</v>
      </c>
      <c r="L32" s="2">
        <f t="shared" si="2"/>
        <v>0</v>
      </c>
      <c r="M32" s="4"/>
    </row>
    <row r="33" spans="1:12" x14ac:dyDescent="0.25">
      <c r="A33" t="s">
        <v>55</v>
      </c>
      <c r="B33" t="s">
        <v>11</v>
      </c>
      <c r="C33" s="1">
        <v>46129</v>
      </c>
      <c r="D33">
        <v>11</v>
      </c>
      <c r="E33">
        <v>12</v>
      </c>
      <c r="F33">
        <v>398</v>
      </c>
      <c r="G33">
        <v>129</v>
      </c>
      <c r="H33" s="2">
        <f t="shared" si="0"/>
        <v>1.0909090909090908</v>
      </c>
      <c r="I33" s="2">
        <f t="shared" si="1"/>
        <v>0.32412060301507539</v>
      </c>
      <c r="J33" s="3">
        <v>0</v>
      </c>
      <c r="K33" s="5">
        <v>0</v>
      </c>
      <c r="L33" s="2">
        <f t="shared" si="2"/>
        <v>0</v>
      </c>
    </row>
    <row r="34" spans="1:12" x14ac:dyDescent="0.25">
      <c r="A34" t="s">
        <v>56</v>
      </c>
      <c r="B34" t="s">
        <v>11</v>
      </c>
      <c r="C34" s="1">
        <v>46063</v>
      </c>
      <c r="D34">
        <v>0</v>
      </c>
      <c r="E34">
        <v>9</v>
      </c>
      <c r="F34">
        <v>247</v>
      </c>
      <c r="G34">
        <v>523</v>
      </c>
      <c r="H34" s="2" t="e">
        <f t="shared" si="0"/>
        <v>#DIV/0!</v>
      </c>
      <c r="I34" s="2">
        <f t="shared" si="1"/>
        <v>2.117408906882591</v>
      </c>
      <c r="J34" s="3">
        <v>0</v>
      </c>
      <c r="K34" s="5">
        <v>9</v>
      </c>
      <c r="L34" s="2">
        <f t="shared" si="2"/>
        <v>0</v>
      </c>
    </row>
    <row r="35" spans="1:12" x14ac:dyDescent="0.25">
      <c r="A35" t="s">
        <v>57</v>
      </c>
      <c r="B35" t="s">
        <v>11</v>
      </c>
      <c r="C35" s="1">
        <v>46044</v>
      </c>
      <c r="D35">
        <v>11</v>
      </c>
      <c r="E35">
        <v>9</v>
      </c>
      <c r="F35">
        <v>900</v>
      </c>
      <c r="G35">
        <v>1062</v>
      </c>
      <c r="H35" s="2">
        <f t="shared" si="0"/>
        <v>0.81818181818181823</v>
      </c>
      <c r="I35" s="2">
        <f t="shared" si="1"/>
        <v>1.18</v>
      </c>
      <c r="J35" s="3">
        <v>0</v>
      </c>
      <c r="K35" s="5">
        <v>0</v>
      </c>
      <c r="L35" s="2">
        <f t="shared" si="2"/>
        <v>0</v>
      </c>
    </row>
    <row r="36" spans="1:12" x14ac:dyDescent="0.25">
      <c r="A36" t="s">
        <v>58</v>
      </c>
      <c r="B36" t="s">
        <v>11</v>
      </c>
      <c r="C36" s="1">
        <v>46031</v>
      </c>
      <c r="D36">
        <v>430</v>
      </c>
      <c r="E36">
        <v>65</v>
      </c>
      <c r="F36">
        <v>3019</v>
      </c>
      <c r="G36">
        <v>1465</v>
      </c>
      <c r="H36" s="2">
        <f t="shared" si="0"/>
        <v>0.15116279069767441</v>
      </c>
      <c r="I36" s="2">
        <f t="shared" si="1"/>
        <v>0.48526001987413053</v>
      </c>
      <c r="J36" s="3">
        <v>15</v>
      </c>
      <c r="K36" s="5">
        <v>0</v>
      </c>
      <c r="L36" s="2">
        <f t="shared" si="2"/>
        <v>0</v>
      </c>
    </row>
    <row r="37" spans="1:12" x14ac:dyDescent="0.25">
      <c r="A37" t="s">
        <v>59</v>
      </c>
      <c r="B37" t="s">
        <v>11</v>
      </c>
      <c r="C37" s="1">
        <v>46007</v>
      </c>
      <c r="D37">
        <v>28</v>
      </c>
      <c r="E37">
        <v>3</v>
      </c>
      <c r="F37">
        <v>1542</v>
      </c>
      <c r="G37">
        <v>926</v>
      </c>
      <c r="H37" s="2">
        <f t="shared" si="0"/>
        <v>0.10714285714285714</v>
      </c>
      <c r="I37" s="2">
        <f t="shared" si="1"/>
        <v>0.60051880674448765</v>
      </c>
      <c r="J37" s="3">
        <v>4</v>
      </c>
      <c r="K37" s="5">
        <v>0</v>
      </c>
      <c r="L37" s="2">
        <f t="shared" si="2"/>
        <v>0</v>
      </c>
    </row>
    <row r="38" spans="1:12" x14ac:dyDescent="0.25">
      <c r="A38" t="s">
        <v>60</v>
      </c>
      <c r="B38" t="s">
        <v>11</v>
      </c>
      <c r="C38" s="1">
        <v>45986</v>
      </c>
      <c r="D38">
        <v>25</v>
      </c>
      <c r="E38">
        <v>1</v>
      </c>
      <c r="F38">
        <v>946</v>
      </c>
      <c r="G38">
        <v>1545</v>
      </c>
      <c r="H38" s="2">
        <f t="shared" si="0"/>
        <v>0.04</v>
      </c>
      <c r="I38" s="2">
        <f t="shared" si="1"/>
        <v>1.6331923890063424</v>
      </c>
      <c r="J38" s="3">
        <v>4</v>
      </c>
      <c r="K38" s="5">
        <v>0</v>
      </c>
      <c r="L38" s="2">
        <f t="shared" si="2"/>
        <v>0</v>
      </c>
    </row>
    <row r="39" spans="1:12" x14ac:dyDescent="0.25">
      <c r="A39" t="s">
        <v>61</v>
      </c>
      <c r="B39" t="s">
        <v>11</v>
      </c>
      <c r="C39" s="1">
        <v>45982</v>
      </c>
      <c r="D39">
        <v>30</v>
      </c>
      <c r="E39">
        <v>3</v>
      </c>
      <c r="F39">
        <v>337</v>
      </c>
      <c r="G39">
        <v>940</v>
      </c>
      <c r="H39" s="2">
        <f t="shared" si="0"/>
        <v>0.1</v>
      </c>
      <c r="I39" s="2">
        <f t="shared" si="1"/>
        <v>2.7893175074183976</v>
      </c>
      <c r="J39" s="3">
        <v>30</v>
      </c>
      <c r="K39" s="5">
        <v>3</v>
      </c>
      <c r="L39" s="2">
        <f t="shared" si="2"/>
        <v>0.1</v>
      </c>
    </row>
    <row r="40" spans="1:12" x14ac:dyDescent="0.25">
      <c r="A40" t="s">
        <v>62</v>
      </c>
      <c r="B40" t="s">
        <v>11</v>
      </c>
      <c r="C40" s="1">
        <v>45973</v>
      </c>
      <c r="D40">
        <v>26</v>
      </c>
      <c r="E40">
        <v>3</v>
      </c>
      <c r="F40">
        <v>20298</v>
      </c>
      <c r="G40">
        <v>6787</v>
      </c>
      <c r="H40" s="2">
        <f t="shared" si="0"/>
        <v>0.11538461538461539</v>
      </c>
      <c r="I40" s="2">
        <f t="shared" si="1"/>
        <v>0.33436791802147997</v>
      </c>
      <c r="J40" s="3">
        <v>0</v>
      </c>
      <c r="K40" s="5">
        <v>0</v>
      </c>
      <c r="L40" s="2">
        <f t="shared" si="2"/>
        <v>0</v>
      </c>
    </row>
    <row r="41" spans="1:12" x14ac:dyDescent="0.25">
      <c r="A41" t="s">
        <v>63</v>
      </c>
      <c r="B41" t="s">
        <v>11</v>
      </c>
      <c r="C41" s="1">
        <v>45968</v>
      </c>
      <c r="D41">
        <v>4</v>
      </c>
      <c r="E41">
        <v>7</v>
      </c>
      <c r="F41">
        <v>167</v>
      </c>
      <c r="G41">
        <v>241</v>
      </c>
      <c r="H41" s="2">
        <f t="shared" si="0"/>
        <v>1.75</v>
      </c>
      <c r="I41" s="2">
        <f t="shared" si="1"/>
        <v>1.4431137724550898</v>
      </c>
      <c r="J41" s="3">
        <v>0</v>
      </c>
      <c r="K41" s="5">
        <v>0</v>
      </c>
      <c r="L41" s="2">
        <f t="shared" si="2"/>
        <v>0</v>
      </c>
    </row>
    <row r="42" spans="1:12" x14ac:dyDescent="0.25">
      <c r="A42" t="s">
        <v>64</v>
      </c>
      <c r="B42" t="s">
        <v>11</v>
      </c>
      <c r="C42" s="1">
        <v>45937</v>
      </c>
      <c r="D42">
        <v>26</v>
      </c>
      <c r="E42">
        <v>5</v>
      </c>
      <c r="F42">
        <v>993</v>
      </c>
      <c r="G42">
        <v>654</v>
      </c>
      <c r="H42" s="2">
        <f t="shared" si="0"/>
        <v>0.19230769230769232</v>
      </c>
      <c r="I42" s="2">
        <f t="shared" si="1"/>
        <v>0.65861027190332322</v>
      </c>
      <c r="J42" s="3">
        <v>0</v>
      </c>
      <c r="K42" s="5">
        <v>0</v>
      </c>
      <c r="L42" s="2">
        <f t="shared" si="2"/>
        <v>0</v>
      </c>
    </row>
    <row r="43" spans="1:12" x14ac:dyDescent="0.25">
      <c r="A43" t="s">
        <v>65</v>
      </c>
      <c r="B43" t="s">
        <v>11</v>
      </c>
      <c r="C43" s="1">
        <v>45933</v>
      </c>
      <c r="D43">
        <v>24</v>
      </c>
      <c r="E43">
        <v>1</v>
      </c>
      <c r="F43">
        <v>356</v>
      </c>
      <c r="G43">
        <v>539</v>
      </c>
      <c r="H43" s="2">
        <f t="shared" si="0"/>
        <v>4.1666666666666664E-2</v>
      </c>
      <c r="I43" s="2">
        <f t="shared" si="1"/>
        <v>1.5140449438202248</v>
      </c>
      <c r="J43" s="3">
        <v>0</v>
      </c>
      <c r="K43" s="5">
        <v>0</v>
      </c>
      <c r="L43" s="2">
        <f t="shared" si="2"/>
        <v>0</v>
      </c>
    </row>
    <row r="44" spans="1:12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 s="2">
        <f t="shared" si="0"/>
        <v>0.15384615384615385</v>
      </c>
      <c r="I44" s="2">
        <f t="shared" si="1"/>
        <v>0.76772616136919314</v>
      </c>
      <c r="J44" s="3">
        <v>6</v>
      </c>
      <c r="K44" s="5">
        <v>0</v>
      </c>
      <c r="L44" s="2">
        <f t="shared" si="2"/>
        <v>0</v>
      </c>
    </row>
    <row r="45" spans="1:12" x14ac:dyDescent="0.25">
      <c r="A45" t="s">
        <v>67</v>
      </c>
      <c r="B45" t="s">
        <v>11</v>
      </c>
      <c r="C45" s="1">
        <v>45927</v>
      </c>
      <c r="D45">
        <v>6</v>
      </c>
      <c r="E45">
        <v>1</v>
      </c>
      <c r="F45">
        <v>239</v>
      </c>
      <c r="G45">
        <v>680</v>
      </c>
      <c r="H45" s="2">
        <f t="shared" si="0"/>
        <v>0.16666666666666666</v>
      </c>
      <c r="I45" s="2">
        <f t="shared" si="1"/>
        <v>2.8451882845188283</v>
      </c>
      <c r="J45" s="3">
        <v>6</v>
      </c>
      <c r="K45" s="5">
        <v>1</v>
      </c>
      <c r="L45" s="2">
        <f t="shared" si="2"/>
        <v>0.16666666666666666</v>
      </c>
    </row>
    <row r="46" spans="1:12" x14ac:dyDescent="0.25">
      <c r="A46" t="s">
        <v>68</v>
      </c>
      <c r="B46" t="s">
        <v>11</v>
      </c>
      <c r="C46" s="1">
        <v>45899</v>
      </c>
      <c r="D46">
        <v>4</v>
      </c>
      <c r="E46">
        <v>1</v>
      </c>
      <c r="F46">
        <v>805</v>
      </c>
      <c r="G46">
        <v>538</v>
      </c>
      <c r="H46" s="2">
        <f t="shared" si="0"/>
        <v>0.25</v>
      </c>
      <c r="I46" s="2">
        <f t="shared" si="1"/>
        <v>0.66832298136645962</v>
      </c>
      <c r="J46" s="3">
        <v>0</v>
      </c>
      <c r="K46" s="5">
        <v>0</v>
      </c>
      <c r="L46" s="2">
        <f t="shared" si="2"/>
        <v>0</v>
      </c>
    </row>
    <row r="47" spans="1:12" x14ac:dyDescent="0.25">
      <c r="A47" t="s">
        <v>69</v>
      </c>
      <c r="B47" t="s">
        <v>70</v>
      </c>
      <c r="C47" s="1">
        <v>45895</v>
      </c>
      <c r="D47">
        <v>3</v>
      </c>
      <c r="E47">
        <v>1</v>
      </c>
      <c r="F47">
        <v>241</v>
      </c>
      <c r="G47">
        <v>508</v>
      </c>
      <c r="H47" s="2">
        <f t="shared" si="0"/>
        <v>0.33333333333333331</v>
      </c>
      <c r="I47" s="2">
        <f t="shared" si="1"/>
        <v>2.107883817427386</v>
      </c>
      <c r="J47" s="3">
        <v>0</v>
      </c>
      <c r="K47" s="5">
        <v>0</v>
      </c>
      <c r="L47" s="2">
        <f t="shared" si="2"/>
        <v>0</v>
      </c>
    </row>
    <row r="48" spans="1:12" x14ac:dyDescent="0.25">
      <c r="A48" t="s">
        <v>71</v>
      </c>
      <c r="B48" t="s">
        <v>11</v>
      </c>
      <c r="C48" s="1">
        <v>45894</v>
      </c>
      <c r="D48">
        <v>12</v>
      </c>
      <c r="E48">
        <v>3</v>
      </c>
      <c r="F48">
        <v>2127</v>
      </c>
      <c r="G48">
        <v>485</v>
      </c>
      <c r="H48" s="2">
        <f t="shared" si="0"/>
        <v>0.25</v>
      </c>
      <c r="I48" s="2">
        <f t="shared" si="1"/>
        <v>0.22802068641278797</v>
      </c>
      <c r="J48" s="3">
        <v>5</v>
      </c>
      <c r="K48" s="5">
        <v>0</v>
      </c>
      <c r="L48" s="2">
        <f t="shared" si="2"/>
        <v>0</v>
      </c>
    </row>
    <row r="49" spans="1:12" x14ac:dyDescent="0.25">
      <c r="A49" t="s">
        <v>72</v>
      </c>
      <c r="B49" t="s">
        <v>11</v>
      </c>
      <c r="C49" s="1">
        <v>45888</v>
      </c>
      <c r="D49">
        <v>0</v>
      </c>
      <c r="E49">
        <v>1</v>
      </c>
      <c r="F49">
        <v>353</v>
      </c>
      <c r="G49">
        <v>491</v>
      </c>
      <c r="H49" s="2" t="e">
        <f t="shared" si="0"/>
        <v>#DIV/0!</v>
      </c>
      <c r="I49" s="2">
        <f t="shared" si="1"/>
        <v>1.3909348441926346</v>
      </c>
      <c r="J49" s="3">
        <v>0</v>
      </c>
      <c r="K49" s="5">
        <v>0</v>
      </c>
      <c r="L49" s="2">
        <f t="shared" si="2"/>
        <v>0</v>
      </c>
    </row>
    <row r="50" spans="1:12" x14ac:dyDescent="0.25">
      <c r="A50" t="s">
        <v>73</v>
      </c>
      <c r="B50" t="s">
        <v>11</v>
      </c>
      <c r="C50" s="1">
        <v>45862</v>
      </c>
      <c r="D50">
        <v>15</v>
      </c>
      <c r="E50">
        <v>1</v>
      </c>
      <c r="F50">
        <v>16859</v>
      </c>
      <c r="G50">
        <v>804</v>
      </c>
      <c r="H50" s="2">
        <f t="shared" si="0"/>
        <v>6.6666666666666666E-2</v>
      </c>
      <c r="I50" s="2">
        <f t="shared" si="1"/>
        <v>4.7689661308499914E-2</v>
      </c>
      <c r="J50" s="3">
        <v>2</v>
      </c>
      <c r="K50" s="5">
        <v>0</v>
      </c>
      <c r="L50" s="2">
        <f t="shared" si="2"/>
        <v>0</v>
      </c>
    </row>
    <row r="51" spans="1:12" x14ac:dyDescent="0.25">
      <c r="A51" t="s">
        <v>74</v>
      </c>
      <c r="B51" t="s">
        <v>11</v>
      </c>
      <c r="C51" s="1">
        <v>45847</v>
      </c>
      <c r="D51">
        <v>12</v>
      </c>
      <c r="E51">
        <v>2</v>
      </c>
      <c r="F51">
        <v>446</v>
      </c>
      <c r="G51">
        <v>248</v>
      </c>
      <c r="H51" s="2">
        <f t="shared" si="0"/>
        <v>0.16666666666666666</v>
      </c>
      <c r="I51" s="2">
        <f t="shared" si="1"/>
        <v>0.55605381165919288</v>
      </c>
      <c r="J51" s="3">
        <v>0</v>
      </c>
      <c r="K51" s="5">
        <v>0</v>
      </c>
      <c r="L51" s="2">
        <f t="shared" si="2"/>
        <v>0</v>
      </c>
    </row>
    <row r="52" spans="1:12" x14ac:dyDescent="0.25">
      <c r="K52">
        <f>SUM(K2:K51)</f>
        <v>1730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8"/>
  <sheetViews>
    <sheetView topLeftCell="A7" workbookViewId="0">
      <selection activeCell="A20" sqref="A20:XFD20"/>
    </sheetView>
  </sheetViews>
  <sheetFormatPr defaultColWidth="10" defaultRowHeight="14.4" x14ac:dyDescent="0.25"/>
  <cols>
    <col min="1" max="1" width="63.77734375" customWidth="1"/>
    <col min="2" max="2" width="2.4414062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75</v>
      </c>
      <c r="B2" t="s">
        <v>13</v>
      </c>
      <c r="C2" s="1">
        <v>46204</v>
      </c>
      <c r="D2">
        <v>346</v>
      </c>
      <c r="E2">
        <v>183</v>
      </c>
      <c r="F2">
        <v>346</v>
      </c>
      <c r="G2">
        <v>183</v>
      </c>
      <c r="H2" s="2">
        <f t="shared" ref="H2:H47" si="0">E2/D2</f>
        <v>0.52890173410404628</v>
      </c>
      <c r="I2" s="2">
        <f t="shared" ref="I2:I47" si="1">G2/F2</f>
        <v>0.52890173410404628</v>
      </c>
      <c r="J2" s="3">
        <f>F2-IFERROR(VLOOKUP($A2,'0701'!$A$1:'0701'!G$79,6,FALSE),IFERROR(VLOOKUP($C2,'0701'!$C$1:'0701'!G$79,4,FALSE),F2-D2))</f>
        <v>346</v>
      </c>
      <c r="K2" s="5">
        <f>G2-IFERROR(VLOOKUP($A2,'0701'!$A$1:'0701'!H$79,7,FALSE),IFERROR(VLOOKUP($C2,'0701'!$C$1:'0701'!H$79,5,FALSE),G2-E2))</f>
        <v>183</v>
      </c>
      <c r="L2" s="2">
        <f t="shared" ref="L2:L47" si="2">IFERROR(K2/J2,)</f>
        <v>0.52890173410404628</v>
      </c>
      <c r="M2" s="4"/>
    </row>
    <row r="3" spans="1:14" x14ac:dyDescent="0.25">
      <c r="A3" t="s">
        <v>76</v>
      </c>
      <c r="B3" t="s">
        <v>11</v>
      </c>
      <c r="C3" s="1">
        <v>46204</v>
      </c>
      <c r="D3">
        <v>58</v>
      </c>
      <c r="E3">
        <v>218</v>
      </c>
      <c r="F3">
        <v>58</v>
      </c>
      <c r="G3">
        <v>218</v>
      </c>
      <c r="H3" s="2">
        <f t="shared" si="0"/>
        <v>3.7586206896551726</v>
      </c>
      <c r="I3" s="2">
        <f t="shared" si="1"/>
        <v>3.7586206896551726</v>
      </c>
      <c r="J3" s="3">
        <f>F3-IFERROR(VLOOKUP($A3,'0701'!$A$1:'0701'!G$79,6,FALSE),IFERROR(VLOOKUP($C3,'0701'!$C$1:'0701'!G$79,4,FALSE),F3-D3))</f>
        <v>58</v>
      </c>
      <c r="K3" s="5">
        <f>G3-IFERROR(VLOOKUP($A3,'0701'!$A$1:'0701'!H$79,7,FALSE),IFERROR(VLOOKUP($C3,'0701'!$C$1:'0701'!H$79,5,FALSE),G3-E3))</f>
        <v>218</v>
      </c>
      <c r="L3" s="2">
        <f t="shared" si="2"/>
        <v>3.7586206896551726</v>
      </c>
      <c r="M3" s="4"/>
    </row>
    <row r="4" spans="1:14" x14ac:dyDescent="0.25">
      <c r="A4" t="s">
        <v>10</v>
      </c>
      <c r="B4" t="s">
        <v>11</v>
      </c>
      <c r="C4" s="1">
        <v>46203</v>
      </c>
      <c r="D4">
        <v>67</v>
      </c>
      <c r="E4">
        <v>604</v>
      </c>
      <c r="F4">
        <v>67</v>
      </c>
      <c r="G4">
        <v>604</v>
      </c>
      <c r="H4" s="2">
        <f t="shared" si="0"/>
        <v>9.0149253731343286</v>
      </c>
      <c r="I4" s="2">
        <f t="shared" si="1"/>
        <v>9.0149253731343286</v>
      </c>
      <c r="J4" s="3">
        <f>F4-IFERROR(VLOOKUP($A4,'0701'!$A$1:'0701'!G$79,6,FALSE),IFERROR(VLOOKUP($C4,'0701'!$C$1:'0701'!G$79,4,FALSE),F4-D4))</f>
        <v>42</v>
      </c>
      <c r="K4" s="5">
        <f>G4-IFERROR(VLOOKUP($A4,'0701'!$A$1:'0701'!H$79,7,FALSE),IFERROR(VLOOKUP($C4,'0701'!$C$1:'0701'!H$79,5,FALSE),G4-E4))</f>
        <v>134</v>
      </c>
      <c r="L4" s="2">
        <f t="shared" si="2"/>
        <v>3.1904761904761907</v>
      </c>
      <c r="M4" s="4"/>
    </row>
    <row r="5" spans="1:14" x14ac:dyDescent="0.25">
      <c r="A5" t="s">
        <v>12</v>
      </c>
      <c r="B5" t="s">
        <v>13</v>
      </c>
      <c r="C5" s="1">
        <v>46203</v>
      </c>
      <c r="D5">
        <v>603</v>
      </c>
      <c r="E5">
        <v>107</v>
      </c>
      <c r="F5">
        <v>603</v>
      </c>
      <c r="G5">
        <v>107</v>
      </c>
      <c r="H5" s="2">
        <f t="shared" si="0"/>
        <v>0.17744610281923714</v>
      </c>
      <c r="I5" s="2">
        <f t="shared" si="1"/>
        <v>0.17744610281923714</v>
      </c>
      <c r="J5" s="3">
        <f>F5-IFERROR(VLOOKUP($A5,'0701'!$A$1:'0701'!G$79,6,FALSE),IFERROR(VLOOKUP($C5,'0701'!$C$1:'0701'!G$79,4,FALSE),F5-D5))</f>
        <v>221</v>
      </c>
      <c r="K5" s="5">
        <f>G5-IFERROR(VLOOKUP($A5,'0701'!$A$1:'0701'!H$79,7,FALSE),IFERROR(VLOOKUP($C5,'0701'!$C$1:'0701'!H$79,5,FALSE),G5-E5))</f>
        <v>14</v>
      </c>
      <c r="L5" s="2">
        <f t="shared" si="2"/>
        <v>6.3348416289592757E-2</v>
      </c>
      <c r="M5" s="4"/>
    </row>
    <row r="6" spans="1:14" x14ac:dyDescent="0.25">
      <c r="A6" t="s">
        <v>14</v>
      </c>
      <c r="B6" t="s">
        <v>11</v>
      </c>
      <c r="C6" s="1">
        <v>46202</v>
      </c>
      <c r="D6">
        <v>89</v>
      </c>
      <c r="E6">
        <v>833</v>
      </c>
      <c r="F6">
        <v>89</v>
      </c>
      <c r="G6">
        <v>833</v>
      </c>
      <c r="H6" s="2">
        <f t="shared" si="0"/>
        <v>9.3595505617977537</v>
      </c>
      <c r="I6" s="2">
        <f t="shared" si="1"/>
        <v>9.3595505617977537</v>
      </c>
      <c r="J6" s="3">
        <f>F6-IFERROR(VLOOKUP($A6,'0701'!$A$1:'0701'!G$79,6,FALSE),IFERROR(VLOOKUP($C6,'0701'!$C$1:'0701'!G$79,4,FALSE),F6-D6))</f>
        <v>11</v>
      </c>
      <c r="K6" s="5">
        <f>G6-IFERROR(VLOOKUP($A6,'0701'!$A$1:'0701'!H$79,7,FALSE),IFERROR(VLOOKUP($C6,'0701'!$C$1:'0701'!H$79,5,FALSE),G6-E6))</f>
        <v>19</v>
      </c>
      <c r="L6" s="2">
        <f t="shared" si="2"/>
        <v>1.7272727272727273</v>
      </c>
      <c r="M6" s="4"/>
    </row>
    <row r="7" spans="1:14" x14ac:dyDescent="0.25">
      <c r="A7" t="s">
        <v>15</v>
      </c>
      <c r="B7" t="s">
        <v>13</v>
      </c>
      <c r="C7" s="1">
        <v>46202</v>
      </c>
      <c r="D7">
        <v>451</v>
      </c>
      <c r="E7">
        <v>205</v>
      </c>
      <c r="F7">
        <v>451</v>
      </c>
      <c r="G7">
        <v>205</v>
      </c>
      <c r="H7" s="2">
        <f t="shared" si="0"/>
        <v>0.45454545454545453</v>
      </c>
      <c r="I7" s="2">
        <f t="shared" si="1"/>
        <v>0.45454545454545453</v>
      </c>
      <c r="J7" s="3">
        <f>F7-IFERROR(VLOOKUP($A7,'0701'!$A$1:'0701'!G$79,6,FALSE),IFERROR(VLOOKUP($C7,'0701'!$C$1:'0701'!G$79,4,FALSE),F7-D7))</f>
        <v>56</v>
      </c>
      <c r="K7" s="5">
        <f>G7-IFERROR(VLOOKUP($A7,'0701'!$A$1:'0701'!H$79,7,FALSE),IFERROR(VLOOKUP($C7,'0701'!$C$1:'0701'!H$79,5,FALSE),G7-E7))</f>
        <v>22</v>
      </c>
      <c r="L7" s="2">
        <f t="shared" si="2"/>
        <v>0.39285714285714285</v>
      </c>
      <c r="M7" s="4"/>
    </row>
    <row r="8" spans="1:14" x14ac:dyDescent="0.25">
      <c r="A8" t="s">
        <v>16</v>
      </c>
      <c r="B8" t="s">
        <v>13</v>
      </c>
      <c r="C8" s="1">
        <v>46201</v>
      </c>
      <c r="D8">
        <v>404</v>
      </c>
      <c r="E8">
        <v>310</v>
      </c>
      <c r="F8">
        <v>404</v>
      </c>
      <c r="G8">
        <v>310</v>
      </c>
      <c r="H8" s="2">
        <f t="shared" si="0"/>
        <v>0.76732673267326734</v>
      </c>
      <c r="I8" s="2">
        <f t="shared" si="1"/>
        <v>0.76732673267326734</v>
      </c>
      <c r="J8" s="3">
        <f>F8-IFERROR(VLOOKUP($A8,'0701'!$A$1:'0701'!G$79,6,FALSE),IFERROR(VLOOKUP($C8,'0701'!$C$1:'0701'!G$79,4,FALSE),F8-D8))</f>
        <v>40</v>
      </c>
      <c r="K8" s="5">
        <f>G8-IFERROR(VLOOKUP($A8,'0701'!$A$1:'0701'!H$79,7,FALSE),IFERROR(VLOOKUP($C8,'0701'!$C$1:'0701'!H$79,5,FALSE),G8-E8))</f>
        <v>0</v>
      </c>
      <c r="L8" s="2">
        <f t="shared" si="2"/>
        <v>0</v>
      </c>
      <c r="M8" s="4"/>
    </row>
    <row r="9" spans="1:14" x14ac:dyDescent="0.25">
      <c r="A9" t="s">
        <v>17</v>
      </c>
      <c r="B9" t="s">
        <v>11</v>
      </c>
      <c r="C9" s="1">
        <v>46201</v>
      </c>
      <c r="D9">
        <v>286</v>
      </c>
      <c r="E9">
        <v>967</v>
      </c>
      <c r="F9">
        <v>286</v>
      </c>
      <c r="G9">
        <v>967</v>
      </c>
      <c r="H9" s="2">
        <f t="shared" si="0"/>
        <v>3.3811188811188813</v>
      </c>
      <c r="I9" s="2">
        <f t="shared" si="1"/>
        <v>3.3811188811188813</v>
      </c>
      <c r="J9" s="3">
        <f>F9-IFERROR(VLOOKUP($A9,'0701'!$A$1:'0701'!G$79,6,FALSE),IFERROR(VLOOKUP($C9,'0701'!$C$1:'0701'!G$79,4,FALSE),F9-D9))</f>
        <v>30</v>
      </c>
      <c r="K9" s="5">
        <f>G9-IFERROR(VLOOKUP($A9,'0701'!$A$1:'0701'!H$79,7,FALSE),IFERROR(VLOOKUP($C9,'0701'!$C$1:'0701'!H$79,5,FALSE),G9-E9))</f>
        <v>0</v>
      </c>
      <c r="L9" s="2">
        <f t="shared" si="2"/>
        <v>0</v>
      </c>
      <c r="M9" s="4"/>
    </row>
    <row r="10" spans="1:14" x14ac:dyDescent="0.25">
      <c r="A10" t="s">
        <v>18</v>
      </c>
      <c r="B10" t="s">
        <v>11</v>
      </c>
      <c r="C10" s="1">
        <v>46200</v>
      </c>
      <c r="D10">
        <v>112</v>
      </c>
      <c r="E10">
        <v>365</v>
      </c>
      <c r="F10">
        <v>112</v>
      </c>
      <c r="G10">
        <v>365</v>
      </c>
      <c r="H10" s="2">
        <f t="shared" si="0"/>
        <v>3.2589285714285716</v>
      </c>
      <c r="I10" s="2">
        <f t="shared" si="1"/>
        <v>3.2589285714285716</v>
      </c>
      <c r="J10" s="3">
        <f>F10-IFERROR(VLOOKUP($A10,'0701'!$A$1:'0701'!G$79,6,FALSE),IFERROR(VLOOKUP($C10,'0701'!$C$1:'0701'!G$79,4,FALSE),F10-D10))</f>
        <v>21</v>
      </c>
      <c r="K10" s="5">
        <f>G10-IFERROR(VLOOKUP($A10,'0701'!$A$1:'0701'!H$79,7,FALSE),IFERROR(VLOOKUP($C10,'0701'!$C$1:'0701'!H$79,5,FALSE),G10-E10))</f>
        <v>12</v>
      </c>
      <c r="L10" s="2">
        <f t="shared" si="2"/>
        <v>0.5714285714285714</v>
      </c>
      <c r="M10" s="4"/>
    </row>
    <row r="11" spans="1:14" x14ac:dyDescent="0.25">
      <c r="A11" t="s">
        <v>19</v>
      </c>
      <c r="B11" t="s">
        <v>11</v>
      </c>
      <c r="C11" s="1">
        <v>46199</v>
      </c>
      <c r="D11">
        <v>115</v>
      </c>
      <c r="E11">
        <v>430</v>
      </c>
      <c r="F11">
        <v>115</v>
      </c>
      <c r="G11">
        <v>430</v>
      </c>
      <c r="H11" s="2">
        <f t="shared" si="0"/>
        <v>3.7391304347826089</v>
      </c>
      <c r="I11" s="2">
        <f t="shared" si="1"/>
        <v>3.7391304347826089</v>
      </c>
      <c r="J11" s="3">
        <f>F11-IFERROR(VLOOKUP($A11,'0701'!$A$1:'0701'!G$79,6,FALSE),IFERROR(VLOOKUP($C11,'0701'!$C$1:'0701'!G$79,4,FALSE),F11-D11))</f>
        <v>0</v>
      </c>
      <c r="K11" s="5">
        <f>G11-IFERROR(VLOOKUP($A11,'0701'!$A$1:'0701'!H$79,7,FALSE),IFERROR(VLOOKUP($C11,'0701'!$C$1:'0701'!H$79,5,FALSE),G11-E11))</f>
        <v>0</v>
      </c>
      <c r="L11" s="2">
        <f t="shared" si="2"/>
        <v>0</v>
      </c>
      <c r="M11" s="4"/>
    </row>
    <row r="12" spans="1:14" x14ac:dyDescent="0.25">
      <c r="A12" t="s">
        <v>20</v>
      </c>
      <c r="B12" t="s">
        <v>13</v>
      </c>
      <c r="C12" s="1">
        <v>46199</v>
      </c>
      <c r="D12">
        <v>583</v>
      </c>
      <c r="E12">
        <v>198</v>
      </c>
      <c r="F12">
        <v>583</v>
      </c>
      <c r="G12">
        <v>198</v>
      </c>
      <c r="H12" s="2">
        <f t="shared" si="0"/>
        <v>0.33962264150943394</v>
      </c>
      <c r="I12" s="2">
        <f t="shared" si="1"/>
        <v>0.33962264150943394</v>
      </c>
      <c r="J12" s="3">
        <f>F12-IFERROR(VLOOKUP($A12,'0701'!$A$1:'0701'!G$79,6,FALSE),IFERROR(VLOOKUP($C12,'0701'!$C$1:'0701'!G$79,4,FALSE),F12-D12))</f>
        <v>8</v>
      </c>
      <c r="K12" s="5">
        <f>G12-IFERROR(VLOOKUP($A12,'0701'!$A$1:'0701'!H$79,7,FALSE),IFERROR(VLOOKUP($C12,'0701'!$C$1:'0701'!H$79,5,FALSE),G12-E12))</f>
        <v>0</v>
      </c>
      <c r="L12" s="2">
        <f t="shared" si="2"/>
        <v>0</v>
      </c>
      <c r="M12" s="4"/>
    </row>
    <row r="13" spans="1:14" x14ac:dyDescent="0.25">
      <c r="A13" t="s">
        <v>21</v>
      </c>
      <c r="B13" t="s">
        <v>11</v>
      </c>
      <c r="C13" s="1">
        <v>46198</v>
      </c>
      <c r="D13">
        <v>180</v>
      </c>
      <c r="E13">
        <v>1368</v>
      </c>
      <c r="F13">
        <v>180</v>
      </c>
      <c r="G13">
        <v>1368</v>
      </c>
      <c r="H13" s="2">
        <f t="shared" si="0"/>
        <v>7.6</v>
      </c>
      <c r="I13" s="2">
        <f t="shared" si="1"/>
        <v>7.6</v>
      </c>
      <c r="J13" s="3">
        <f>F13-IFERROR(VLOOKUP($A13,'0701'!$A$1:'0701'!G$79,6,FALSE),IFERROR(VLOOKUP($C13,'0701'!$C$1:'0701'!G$79,4,FALSE),F13-D13))</f>
        <v>14</v>
      </c>
      <c r="K13" s="5">
        <f>G13-IFERROR(VLOOKUP($A13,'0701'!$A$1:'0701'!H$79,7,FALSE),IFERROR(VLOOKUP($C13,'0701'!$C$1:'0701'!H$79,5,FALSE),G13-E13))</f>
        <v>95</v>
      </c>
      <c r="L13" s="2">
        <f t="shared" si="2"/>
        <v>6.7857142857142856</v>
      </c>
      <c r="M13" s="4"/>
    </row>
    <row r="14" spans="1:14" x14ac:dyDescent="0.25">
      <c r="A14" t="s">
        <v>22</v>
      </c>
      <c r="B14" t="s">
        <v>11</v>
      </c>
      <c r="C14" s="1">
        <v>46197</v>
      </c>
      <c r="D14">
        <v>79</v>
      </c>
      <c r="E14">
        <v>379</v>
      </c>
      <c r="F14">
        <v>120</v>
      </c>
      <c r="G14">
        <v>644</v>
      </c>
      <c r="H14" s="2">
        <f t="shared" si="0"/>
        <v>4.7974683544303796</v>
      </c>
      <c r="I14" s="2">
        <f t="shared" si="1"/>
        <v>5.3666666666666663</v>
      </c>
      <c r="J14" s="3">
        <f>F14-IFERROR(VLOOKUP($A14,'0701'!$A$1:'0701'!G$79,6,FALSE),IFERROR(VLOOKUP($C14,'0701'!$C$1:'0701'!G$79,4,FALSE),F14-D14))</f>
        <v>7</v>
      </c>
      <c r="K14" s="5">
        <f>G14-IFERROR(VLOOKUP($A14,'0701'!$A$1:'0701'!H$79,7,FALSE),IFERROR(VLOOKUP($C14,'0701'!$C$1:'0701'!H$79,5,FALSE),G14-E14))</f>
        <v>70</v>
      </c>
      <c r="L14" s="2">
        <f t="shared" si="2"/>
        <v>10</v>
      </c>
      <c r="M14" s="4" t="s">
        <v>23</v>
      </c>
      <c r="N14" t="s">
        <v>77</v>
      </c>
    </row>
    <row r="15" spans="1:14" x14ac:dyDescent="0.25">
      <c r="A15" t="s">
        <v>24</v>
      </c>
      <c r="B15" t="s">
        <v>13</v>
      </c>
      <c r="C15" s="1">
        <v>46196</v>
      </c>
      <c r="D15">
        <v>186</v>
      </c>
      <c r="E15">
        <v>30</v>
      </c>
      <c r="F15">
        <v>913</v>
      </c>
      <c r="G15">
        <v>281</v>
      </c>
      <c r="H15" s="2">
        <f t="shared" si="0"/>
        <v>0.16129032258064516</v>
      </c>
      <c r="I15" s="2">
        <f t="shared" si="1"/>
        <v>0.30777656078860899</v>
      </c>
      <c r="J15" s="3">
        <f>F15-IFERROR(VLOOKUP($A15,'0701'!$A$1:'0701'!G$79,6,FALSE),IFERROR(VLOOKUP($C15,'0701'!$C$1:'0701'!G$79,4,FALSE),F15-D15))</f>
        <v>12</v>
      </c>
      <c r="K15" s="5">
        <f>G15-IFERROR(VLOOKUP($A15,'0701'!$A$1:'0701'!H$79,7,FALSE),IFERROR(VLOOKUP($C15,'0701'!$C$1:'0701'!H$79,5,FALSE),G15-E15))</f>
        <v>10</v>
      </c>
      <c r="L15" s="2">
        <f t="shared" si="2"/>
        <v>0.83333333333333337</v>
      </c>
      <c r="M15" s="4"/>
    </row>
    <row r="16" spans="1:14" x14ac:dyDescent="0.25">
      <c r="A16" t="s">
        <v>25</v>
      </c>
      <c r="B16" t="s">
        <v>11</v>
      </c>
      <c r="C16" s="1">
        <v>46196</v>
      </c>
      <c r="D16">
        <v>62</v>
      </c>
      <c r="E16">
        <v>191</v>
      </c>
      <c r="F16">
        <v>175</v>
      </c>
      <c r="G16">
        <v>1158</v>
      </c>
      <c r="H16" s="2">
        <f t="shared" si="0"/>
        <v>3.0806451612903225</v>
      </c>
      <c r="I16" s="2">
        <f t="shared" si="1"/>
        <v>6.6171428571428574</v>
      </c>
      <c r="J16" s="3">
        <f>F16-IFERROR(VLOOKUP($A16,'0701'!$A$1:'0701'!G$79,6,FALSE),IFERROR(VLOOKUP($C16,'0701'!$C$1:'0701'!G$79,4,FALSE),F16-D16))</f>
        <v>4</v>
      </c>
      <c r="K16" s="5">
        <f>G16-IFERROR(VLOOKUP($A16,'0701'!$A$1:'0701'!H$79,7,FALSE),IFERROR(VLOOKUP($C16,'0701'!$C$1:'0701'!H$79,5,FALSE),G16-E16))</f>
        <v>0</v>
      </c>
      <c r="L16" s="2">
        <f t="shared" si="2"/>
        <v>0</v>
      </c>
      <c r="M16" s="4" t="s">
        <v>78</v>
      </c>
    </row>
    <row r="17" spans="1:15" x14ac:dyDescent="0.25">
      <c r="A17" t="s">
        <v>26</v>
      </c>
      <c r="B17" t="s">
        <v>11</v>
      </c>
      <c r="C17" s="1">
        <v>46195</v>
      </c>
      <c r="D17">
        <v>59</v>
      </c>
      <c r="E17">
        <v>336</v>
      </c>
      <c r="F17">
        <v>144</v>
      </c>
      <c r="G17">
        <v>707</v>
      </c>
      <c r="H17" s="2">
        <f t="shared" si="0"/>
        <v>5.6949152542372881</v>
      </c>
      <c r="I17" s="2">
        <f t="shared" si="1"/>
        <v>4.9097222222222223</v>
      </c>
      <c r="J17" s="3">
        <f>F17-IFERROR(VLOOKUP($A17,'0701'!$A$1:'0701'!G$79,6,FALSE),IFERROR(VLOOKUP($C17,'0701'!$C$1:'0701'!G$79,4,FALSE),F17-D17))</f>
        <v>17</v>
      </c>
      <c r="K17" s="5">
        <f>G17-IFERROR(VLOOKUP($A17,'0701'!$A$1:'0701'!H$79,7,FALSE),IFERROR(VLOOKUP($C17,'0701'!$C$1:'0701'!H$79,5,FALSE),G17-E17))</f>
        <v>130</v>
      </c>
      <c r="L17" s="2">
        <f t="shared" si="2"/>
        <v>7.6470588235294121</v>
      </c>
      <c r="M17" s="4" t="s">
        <v>27</v>
      </c>
    </row>
    <row r="18" spans="1:15" x14ac:dyDescent="0.25">
      <c r="A18" t="s">
        <v>28</v>
      </c>
      <c r="B18" t="s">
        <v>11</v>
      </c>
      <c r="C18" s="1">
        <v>46194</v>
      </c>
      <c r="D18">
        <v>29</v>
      </c>
      <c r="E18">
        <v>267</v>
      </c>
      <c r="F18">
        <v>151</v>
      </c>
      <c r="G18">
        <v>1024</v>
      </c>
      <c r="H18" s="2">
        <f t="shared" si="0"/>
        <v>9.2068965517241388</v>
      </c>
      <c r="I18" s="2">
        <f t="shared" si="1"/>
        <v>6.7814569536423841</v>
      </c>
      <c r="J18" s="3">
        <f>F18-IFERROR(VLOOKUP($A18,'0701'!$A$1:'0701'!G$79,6,FALSE),IFERROR(VLOOKUP($C18,'0701'!$C$1:'0701'!G$79,4,FALSE),F18-D18))</f>
        <v>1</v>
      </c>
      <c r="K18" s="5">
        <f>G18-IFERROR(VLOOKUP($A18,'0701'!$A$1:'0701'!H$79,7,FALSE),IFERROR(VLOOKUP($C18,'0701'!$C$1:'0701'!H$79,5,FALSE),G18-E18))</f>
        <v>0</v>
      </c>
      <c r="L18" s="2">
        <f t="shared" si="2"/>
        <v>0</v>
      </c>
      <c r="M18" s="4" t="s">
        <v>29</v>
      </c>
      <c r="N18" t="s">
        <v>30</v>
      </c>
    </row>
    <row r="19" spans="1:15" x14ac:dyDescent="0.25">
      <c r="A19" t="s">
        <v>31</v>
      </c>
      <c r="B19" t="s">
        <v>32</v>
      </c>
      <c r="C19" s="1">
        <v>46193</v>
      </c>
      <c r="D19">
        <v>19</v>
      </c>
      <c r="E19">
        <v>10</v>
      </c>
      <c r="F19">
        <v>143</v>
      </c>
      <c r="G19">
        <v>114</v>
      </c>
      <c r="H19" s="2">
        <f t="shared" si="0"/>
        <v>0.52631578947368418</v>
      </c>
      <c r="I19" s="2">
        <f t="shared" si="1"/>
        <v>0.79720279720279719</v>
      </c>
      <c r="J19" s="3">
        <f>F19-IFERROR(VLOOKUP($A19,'0701'!$A$1:'0701'!G$79,6,FALSE),IFERROR(VLOOKUP($C19,'0701'!$C$1:'0701'!G$79,4,FALSE),F19-D19))</f>
        <v>2</v>
      </c>
      <c r="K19" s="5">
        <f>G19-IFERROR(VLOOKUP($A19,'0701'!$A$1:'0701'!H$79,7,FALSE),IFERROR(VLOOKUP($C19,'0701'!$C$1:'0701'!H$79,5,FALSE),G19-E19))</f>
        <v>0</v>
      </c>
      <c r="L19" s="2">
        <f t="shared" si="2"/>
        <v>0</v>
      </c>
      <c r="M19" s="4"/>
    </row>
    <row r="20" spans="1:15" x14ac:dyDescent="0.25">
      <c r="A20" t="s">
        <v>33</v>
      </c>
      <c r="B20" t="s">
        <v>11</v>
      </c>
      <c r="C20" s="1">
        <v>46193</v>
      </c>
      <c r="D20">
        <v>54</v>
      </c>
      <c r="E20">
        <v>458</v>
      </c>
      <c r="F20">
        <v>149</v>
      </c>
      <c r="G20">
        <v>1617</v>
      </c>
      <c r="H20" s="2">
        <f t="shared" si="0"/>
        <v>8.481481481481481</v>
      </c>
      <c r="I20" s="2">
        <f t="shared" si="1"/>
        <v>10.85234899328859</v>
      </c>
      <c r="J20" s="3">
        <f>F20-IFERROR(VLOOKUP($A20,'0701'!$A$1:'0701'!G$79,6,FALSE),IFERROR(VLOOKUP($C20,'0701'!$C$1:'0701'!G$79,4,FALSE),F20-D20))</f>
        <v>0</v>
      </c>
      <c r="K20" s="5">
        <f>G20-IFERROR(VLOOKUP($A20,'0701'!$A$1:'0701'!H$79,7,FALSE),IFERROR(VLOOKUP($C20,'0701'!$C$1:'0701'!H$79,5,FALSE),G20-E20))</f>
        <v>0</v>
      </c>
      <c r="L20" s="2">
        <f t="shared" si="2"/>
        <v>0</v>
      </c>
      <c r="M20" s="4" t="s">
        <v>34</v>
      </c>
      <c r="N20" t="s">
        <v>35</v>
      </c>
    </row>
    <row r="21" spans="1:15" x14ac:dyDescent="0.25">
      <c r="A21" t="s">
        <v>36</v>
      </c>
      <c r="B21" t="s">
        <v>11</v>
      </c>
      <c r="C21" s="1">
        <v>46192</v>
      </c>
      <c r="D21">
        <v>326</v>
      </c>
      <c r="E21">
        <v>114</v>
      </c>
      <c r="F21">
        <v>1993</v>
      </c>
      <c r="G21">
        <v>1204</v>
      </c>
      <c r="H21" s="2">
        <f t="shared" si="0"/>
        <v>0.34969325153374231</v>
      </c>
      <c r="I21" s="2">
        <f t="shared" si="1"/>
        <v>0.60411440040140496</v>
      </c>
      <c r="J21" s="3">
        <f>F21-IFERROR(VLOOKUP($A21,'0701'!$A$1:'0701'!G$79,6,FALSE),IFERROR(VLOOKUP($C21,'0701'!$C$1:'0701'!G$79,4,FALSE),F21-D21))</f>
        <v>15</v>
      </c>
      <c r="K21" s="5">
        <f>G21-IFERROR(VLOOKUP($A21,'0701'!$A$1:'0701'!H$79,7,FALSE),IFERROR(VLOOKUP($C21,'0701'!$C$1:'0701'!H$79,5,FALSE),G21-E21))</f>
        <v>0</v>
      </c>
      <c r="L21" s="2">
        <f t="shared" si="2"/>
        <v>0</v>
      </c>
      <c r="M21" s="4"/>
    </row>
    <row r="22" spans="1:15" x14ac:dyDescent="0.25">
      <c r="A22" t="s">
        <v>37</v>
      </c>
      <c r="B22" t="s">
        <v>11</v>
      </c>
      <c r="C22" s="1">
        <v>46191</v>
      </c>
      <c r="D22">
        <v>103</v>
      </c>
      <c r="E22">
        <v>7</v>
      </c>
      <c r="F22">
        <v>378</v>
      </c>
      <c r="G22">
        <v>218</v>
      </c>
      <c r="H22" s="2">
        <f t="shared" si="0"/>
        <v>6.7961165048543687E-2</v>
      </c>
      <c r="I22" s="2">
        <f t="shared" si="1"/>
        <v>0.57671957671957674</v>
      </c>
      <c r="J22" s="3">
        <f>F22-IFERROR(VLOOKUP($A22,'0701'!$A$1:'0701'!G$79,6,FALSE),IFERROR(VLOOKUP($C22,'0701'!$C$1:'0701'!G$79,4,FALSE),F22-D22))</f>
        <v>11</v>
      </c>
      <c r="K22" s="5">
        <f>G22-IFERROR(VLOOKUP($A22,'0701'!$A$1:'0701'!H$79,7,FALSE),IFERROR(VLOOKUP($C22,'0701'!$C$1:'0701'!H$79,5,FALSE),G22-E22))</f>
        <v>0</v>
      </c>
      <c r="L22" s="2">
        <f t="shared" si="2"/>
        <v>0</v>
      </c>
      <c r="M22" s="4"/>
    </row>
    <row r="23" spans="1:15" x14ac:dyDescent="0.25">
      <c r="A23" t="s">
        <v>38</v>
      </c>
      <c r="B23" t="s">
        <v>11</v>
      </c>
      <c r="C23" s="1">
        <v>46190</v>
      </c>
      <c r="D23">
        <v>35</v>
      </c>
      <c r="E23">
        <v>1</v>
      </c>
      <c r="F23">
        <v>694</v>
      </c>
      <c r="G23">
        <v>6</v>
      </c>
      <c r="H23" s="2">
        <f t="shared" si="0"/>
        <v>2.8571428571428571E-2</v>
      </c>
      <c r="I23" s="2">
        <f t="shared" si="1"/>
        <v>8.6455331412103754E-3</v>
      </c>
      <c r="J23" s="3">
        <f>F23-IFERROR(VLOOKUP($A23,'0701'!$A$1:'0701'!G$79,6,FALSE),IFERROR(VLOOKUP($C23,'0701'!$C$1:'0701'!G$79,4,FALSE),F23-D23))</f>
        <v>3</v>
      </c>
      <c r="K23" s="5">
        <f>G23-IFERROR(VLOOKUP($A23,'0701'!$A$1:'0701'!H$79,7,FALSE),IFERROR(VLOOKUP($C23,'0701'!$C$1:'0701'!H$79,5,FALSE),G23-E23))</f>
        <v>0</v>
      </c>
      <c r="L23" s="2">
        <f t="shared" si="2"/>
        <v>0</v>
      </c>
      <c r="M23" s="4"/>
    </row>
    <row r="24" spans="1:15" x14ac:dyDescent="0.25">
      <c r="A24" t="s">
        <v>39</v>
      </c>
      <c r="B24" t="s">
        <v>11</v>
      </c>
      <c r="C24" s="1">
        <v>46189</v>
      </c>
      <c r="D24">
        <v>17</v>
      </c>
      <c r="E24">
        <v>95</v>
      </c>
      <c r="F24">
        <v>147</v>
      </c>
      <c r="G24">
        <v>941</v>
      </c>
      <c r="H24" s="2">
        <f t="shared" si="0"/>
        <v>5.5882352941176467</v>
      </c>
      <c r="I24" s="2">
        <f t="shared" si="1"/>
        <v>6.4013605442176873</v>
      </c>
      <c r="J24" s="3">
        <f>F24-IFERROR(VLOOKUP($A24,'0701'!$A$1:'0701'!G$79,6,FALSE),IFERROR(VLOOKUP($C24,'0701'!$C$1:'0701'!G$79,4,FALSE),F24-D24))</f>
        <v>3</v>
      </c>
      <c r="K24" s="5">
        <f>G24-IFERROR(VLOOKUP($A24,'0701'!$A$1:'0701'!H$79,7,FALSE),IFERROR(VLOOKUP($C24,'0701'!$C$1:'0701'!H$79,5,FALSE),G24-E24))</f>
        <v>19</v>
      </c>
      <c r="L24" s="2">
        <f t="shared" si="2"/>
        <v>6.333333333333333</v>
      </c>
      <c r="M24" s="4" t="s">
        <v>40</v>
      </c>
      <c r="N24" t="s">
        <v>41</v>
      </c>
      <c r="O24" t="s">
        <v>42</v>
      </c>
    </row>
    <row r="25" spans="1:15" x14ac:dyDescent="0.25">
      <c r="A25" t="s">
        <v>43</v>
      </c>
      <c r="B25" t="s">
        <v>11</v>
      </c>
      <c r="C25" s="1">
        <v>46187</v>
      </c>
      <c r="D25">
        <v>277</v>
      </c>
      <c r="E25">
        <v>107</v>
      </c>
      <c r="F25">
        <v>11066</v>
      </c>
      <c r="G25">
        <v>809</v>
      </c>
      <c r="H25" s="2">
        <f t="shared" si="0"/>
        <v>0.38628158844765342</v>
      </c>
      <c r="I25" s="2">
        <f t="shared" si="1"/>
        <v>7.3106813663473699E-2</v>
      </c>
      <c r="J25" s="3">
        <f>F25-IFERROR(VLOOKUP($A25,'0701'!$A$1:'0701'!G$79,6,FALSE),IFERROR(VLOOKUP($C25,'0701'!$C$1:'0701'!G$79,4,FALSE),F25-D25))</f>
        <v>63</v>
      </c>
      <c r="K25" s="5">
        <f>G25-IFERROR(VLOOKUP($A25,'0701'!$A$1:'0701'!H$79,7,FALSE),IFERROR(VLOOKUP($C25,'0701'!$C$1:'0701'!H$79,5,FALSE),G25-E25))</f>
        <v>25</v>
      </c>
      <c r="L25" s="2">
        <f t="shared" si="2"/>
        <v>0.3968253968253968</v>
      </c>
      <c r="M25" s="4"/>
    </row>
    <row r="26" spans="1:15" x14ac:dyDescent="0.25">
      <c r="A26" t="s">
        <v>47</v>
      </c>
      <c r="B26" t="s">
        <v>11</v>
      </c>
      <c r="C26" s="1">
        <v>46182</v>
      </c>
      <c r="D26">
        <v>3</v>
      </c>
      <c r="E26">
        <v>22</v>
      </c>
      <c r="F26">
        <v>122</v>
      </c>
      <c r="G26">
        <v>284</v>
      </c>
      <c r="H26" s="2">
        <f t="shared" si="0"/>
        <v>7.333333333333333</v>
      </c>
      <c r="I26" s="2">
        <f t="shared" si="1"/>
        <v>2.3278688524590163</v>
      </c>
      <c r="J26" s="3">
        <f>F26-IFERROR(VLOOKUP($A26,'0701'!$A$1:'0701'!G$79,6,FALSE),IFERROR(VLOOKUP($C26,'0701'!$C$1:'0701'!G$79,4,FALSE),F26-D26))</f>
        <v>1</v>
      </c>
      <c r="K26" s="5">
        <f>G26-IFERROR(VLOOKUP($A26,'0701'!$A$1:'0701'!H$79,7,FALSE),IFERROR(VLOOKUP($C26,'0701'!$C$1:'0701'!H$79,5,FALSE),G26-E26))</f>
        <v>7</v>
      </c>
      <c r="L26" s="2">
        <f t="shared" si="2"/>
        <v>7</v>
      </c>
      <c r="M26" s="4"/>
    </row>
    <row r="27" spans="1:15" x14ac:dyDescent="0.25">
      <c r="A27" t="s">
        <v>48</v>
      </c>
      <c r="B27" t="s">
        <v>11</v>
      </c>
      <c r="C27" s="1">
        <v>46177</v>
      </c>
      <c r="D27">
        <v>23</v>
      </c>
      <c r="E27">
        <v>38</v>
      </c>
      <c r="F27">
        <v>340</v>
      </c>
      <c r="G27">
        <v>665</v>
      </c>
      <c r="H27" s="2">
        <f t="shared" si="0"/>
        <v>1.6521739130434783</v>
      </c>
      <c r="I27" s="2">
        <f t="shared" si="1"/>
        <v>1.9558823529411764</v>
      </c>
      <c r="J27" s="3">
        <f>F27-IFERROR(VLOOKUP($A27,'0701'!$A$1:'0701'!G$79,6,FALSE),IFERROR(VLOOKUP($C27,'0701'!$C$1:'0701'!G$79,4,FALSE),F27-D27))</f>
        <v>0</v>
      </c>
      <c r="K27" s="5">
        <f>G27-IFERROR(VLOOKUP($A27,'0701'!$A$1:'0701'!H$79,7,FALSE),IFERROR(VLOOKUP($C27,'0701'!$C$1:'0701'!H$79,5,FALSE),G27-E27))</f>
        <v>0</v>
      </c>
      <c r="L27" s="2">
        <f t="shared" si="2"/>
        <v>0</v>
      </c>
      <c r="M27" s="4"/>
    </row>
    <row r="28" spans="1:15" x14ac:dyDescent="0.25">
      <c r="A28" t="s">
        <v>49</v>
      </c>
      <c r="B28" t="s">
        <v>11</v>
      </c>
      <c r="C28" s="1">
        <v>46173</v>
      </c>
      <c r="D28">
        <v>17</v>
      </c>
      <c r="E28">
        <v>19</v>
      </c>
      <c r="F28">
        <v>373</v>
      </c>
      <c r="G28">
        <v>481</v>
      </c>
      <c r="H28" s="2">
        <f t="shared" si="0"/>
        <v>1.1176470588235294</v>
      </c>
      <c r="I28" s="2">
        <f t="shared" si="1"/>
        <v>1.2895442359249329</v>
      </c>
      <c r="J28" s="3">
        <f>F28-IFERROR(VLOOKUP($A28,'0701'!$A$1:'0701'!G$79,6,FALSE),IFERROR(VLOOKUP($C28,'0701'!$C$1:'0701'!G$79,4,FALSE),F28-D28))</f>
        <v>0</v>
      </c>
      <c r="K28" s="5">
        <f>G28-IFERROR(VLOOKUP($A28,'0701'!$A$1:'0701'!H$79,7,FALSE),IFERROR(VLOOKUP($C28,'0701'!$C$1:'0701'!H$79,5,FALSE),G28-E28))</f>
        <v>0</v>
      </c>
      <c r="L28" s="2">
        <f t="shared" si="2"/>
        <v>0</v>
      </c>
      <c r="M28" s="4"/>
    </row>
    <row r="29" spans="1:15" x14ac:dyDescent="0.25">
      <c r="A29" t="s">
        <v>50</v>
      </c>
      <c r="B29" t="s">
        <v>11</v>
      </c>
      <c r="C29" s="1">
        <v>46172</v>
      </c>
      <c r="D29">
        <v>3</v>
      </c>
      <c r="E29">
        <v>7</v>
      </c>
      <c r="F29">
        <v>184</v>
      </c>
      <c r="G29">
        <v>144</v>
      </c>
      <c r="H29" s="2">
        <f t="shared" si="0"/>
        <v>2.3333333333333335</v>
      </c>
      <c r="I29" s="2">
        <f t="shared" si="1"/>
        <v>0.78260869565217395</v>
      </c>
      <c r="J29" s="3">
        <f>F29-IFERROR(VLOOKUP($A29,'0701'!$A$1:'0701'!G$79,6,FALSE),IFERROR(VLOOKUP($C29,'0701'!$C$1:'0701'!G$79,4,FALSE),F29-D29))</f>
        <v>0</v>
      </c>
      <c r="K29" s="5">
        <f>G29-IFERROR(VLOOKUP($A29,'0701'!$A$1:'0701'!H$79,7,FALSE),IFERROR(VLOOKUP($C29,'0701'!$C$1:'0701'!H$79,5,FALSE),G29-E29))</f>
        <v>0</v>
      </c>
      <c r="L29" s="2">
        <f t="shared" si="2"/>
        <v>0</v>
      </c>
      <c r="M29" s="4"/>
      <c r="N29" s="4"/>
    </row>
    <row r="30" spans="1:15" x14ac:dyDescent="0.25">
      <c r="A30" t="s">
        <v>51</v>
      </c>
      <c r="B30" t="s">
        <v>11</v>
      </c>
      <c r="C30" s="1">
        <v>46168</v>
      </c>
      <c r="D30">
        <v>3</v>
      </c>
      <c r="E30">
        <v>24</v>
      </c>
      <c r="F30">
        <v>127</v>
      </c>
      <c r="G30">
        <v>191</v>
      </c>
      <c r="H30" s="2">
        <f t="shared" si="0"/>
        <v>8</v>
      </c>
      <c r="I30" s="2">
        <f t="shared" si="1"/>
        <v>1.5039370078740157</v>
      </c>
      <c r="J30" s="3">
        <f>F30-IFERROR(VLOOKUP($A30,'0701'!$A$1:'0701'!G$79,6,FALSE),IFERROR(VLOOKUP($C30,'0701'!$C$1:'0701'!G$79,4,FALSE),F30-D30))</f>
        <v>0</v>
      </c>
      <c r="K30" s="5">
        <f>G30-IFERROR(VLOOKUP($A30,'0701'!$A$1:'0701'!H$79,7,FALSE),IFERROR(VLOOKUP($C30,'0701'!$C$1:'0701'!H$79,5,FALSE),G30-E30))</f>
        <v>0</v>
      </c>
      <c r="L30" s="2">
        <f t="shared" si="2"/>
        <v>0</v>
      </c>
      <c r="M30" s="4"/>
    </row>
    <row r="31" spans="1:15" x14ac:dyDescent="0.25">
      <c r="A31" t="s">
        <v>52</v>
      </c>
      <c r="B31" t="s">
        <v>11</v>
      </c>
      <c r="C31" s="1">
        <v>46164</v>
      </c>
      <c r="D31">
        <v>36</v>
      </c>
      <c r="E31">
        <v>12</v>
      </c>
      <c r="F31">
        <v>586</v>
      </c>
      <c r="G31">
        <v>240</v>
      </c>
      <c r="H31" s="2">
        <f t="shared" si="0"/>
        <v>0.33333333333333331</v>
      </c>
      <c r="I31" s="2">
        <f t="shared" si="1"/>
        <v>0.40955631399317405</v>
      </c>
      <c r="J31" s="3">
        <f>F31-IFERROR(VLOOKUP($A31,'0701'!$A$1:'0701'!G$79,6,FALSE),IFERROR(VLOOKUP($C31,'0701'!$C$1:'0701'!G$79,4,FALSE),F31-D31))</f>
        <v>5</v>
      </c>
      <c r="K31" s="5">
        <f>G31-IFERROR(VLOOKUP($A31,'0701'!$A$1:'0701'!H$79,7,FALSE),IFERROR(VLOOKUP($C31,'0701'!$C$1:'0701'!H$79,5,FALSE),G31-E31))</f>
        <v>0</v>
      </c>
      <c r="L31" s="2">
        <f t="shared" si="2"/>
        <v>0</v>
      </c>
      <c r="M31" s="4"/>
    </row>
    <row r="32" spans="1:15" x14ac:dyDescent="0.25">
      <c r="A32" t="s">
        <v>79</v>
      </c>
      <c r="B32" t="s">
        <v>11</v>
      </c>
      <c r="C32" s="1">
        <v>46153</v>
      </c>
      <c r="D32">
        <v>2</v>
      </c>
      <c r="E32">
        <v>5</v>
      </c>
      <c r="F32">
        <v>130</v>
      </c>
      <c r="G32">
        <v>98</v>
      </c>
      <c r="H32" s="2">
        <f t="shared" si="0"/>
        <v>2.5</v>
      </c>
      <c r="I32" s="2">
        <f t="shared" si="1"/>
        <v>0.75384615384615383</v>
      </c>
      <c r="J32" s="3">
        <f>F32-IFERROR(VLOOKUP($A32,'0701'!$A$1:'0701'!G$79,6,FALSE),IFERROR(VLOOKUP($C32,'0701'!$C$1:'0701'!G$79,4,FALSE),F32-D32))</f>
        <v>2</v>
      </c>
      <c r="K32" s="5">
        <f>G32-IFERROR(VLOOKUP($A32,'0701'!$A$1:'0701'!H$79,7,FALSE),IFERROR(VLOOKUP($C32,'0701'!$C$1:'0701'!H$79,5,FALSE),G32-E32))</f>
        <v>5</v>
      </c>
      <c r="L32" s="2">
        <f t="shared" si="2"/>
        <v>2.5</v>
      </c>
      <c r="M32" s="4"/>
    </row>
    <row r="33" spans="1:13" x14ac:dyDescent="0.25">
      <c r="A33" t="s">
        <v>54</v>
      </c>
      <c r="B33" t="s">
        <v>11</v>
      </c>
      <c r="C33" s="1">
        <v>46142</v>
      </c>
      <c r="D33">
        <v>10</v>
      </c>
      <c r="E33">
        <v>30</v>
      </c>
      <c r="F33">
        <v>3160</v>
      </c>
      <c r="G33">
        <v>1782</v>
      </c>
      <c r="H33" s="2">
        <f t="shared" si="0"/>
        <v>3</v>
      </c>
      <c r="I33" s="2">
        <f t="shared" si="1"/>
        <v>0.5639240506329114</v>
      </c>
      <c r="J33" s="3">
        <f>F33-IFERROR(VLOOKUP($A33,'0701'!$A$1:'0701'!G$79,6,FALSE),IFERROR(VLOOKUP($C33,'0701'!$C$1:'0701'!G$79,4,FALSE),F33-D33))</f>
        <v>2</v>
      </c>
      <c r="K33" s="5">
        <f>G33-IFERROR(VLOOKUP($A33,'0701'!$A$1:'0701'!H$79,7,FALSE),IFERROR(VLOOKUP($C33,'0701'!$C$1:'0701'!H$79,5,FALSE),G33-E33))</f>
        <v>0</v>
      </c>
      <c r="L33" s="2">
        <f t="shared" si="2"/>
        <v>0</v>
      </c>
      <c r="M33" s="4"/>
    </row>
    <row r="34" spans="1:13" x14ac:dyDescent="0.25">
      <c r="A34" t="s">
        <v>55</v>
      </c>
      <c r="B34" t="s">
        <v>11</v>
      </c>
      <c r="C34" s="1">
        <v>46129</v>
      </c>
      <c r="D34">
        <v>12</v>
      </c>
      <c r="E34">
        <v>12</v>
      </c>
      <c r="F34">
        <v>400</v>
      </c>
      <c r="G34">
        <v>129</v>
      </c>
      <c r="H34" s="2">
        <f t="shared" si="0"/>
        <v>1</v>
      </c>
      <c r="I34" s="2">
        <f t="shared" si="1"/>
        <v>0.32250000000000001</v>
      </c>
      <c r="J34" s="3">
        <f>F34-IFERROR(VLOOKUP($A34,'0701'!$A$1:'0701'!G$79,6,FALSE),IFERROR(VLOOKUP($C34,'0701'!$C$1:'0701'!G$79,4,FALSE),F34-D34))</f>
        <v>2</v>
      </c>
      <c r="K34" s="5">
        <f>G34-IFERROR(VLOOKUP($A34,'0701'!$A$1:'0701'!H$79,7,FALSE),IFERROR(VLOOKUP($C34,'0701'!$C$1:'0701'!H$79,5,FALSE),G34-E34))</f>
        <v>0</v>
      </c>
      <c r="L34" s="2">
        <f t="shared" si="2"/>
        <v>0</v>
      </c>
    </row>
    <row r="35" spans="1:13" x14ac:dyDescent="0.25">
      <c r="A35" t="s">
        <v>56</v>
      </c>
      <c r="B35" t="s">
        <v>11</v>
      </c>
      <c r="C35" s="1">
        <v>46063</v>
      </c>
      <c r="D35">
        <v>1</v>
      </c>
      <c r="E35">
        <v>9</v>
      </c>
      <c r="F35">
        <v>248</v>
      </c>
      <c r="G35">
        <v>523</v>
      </c>
      <c r="H35" s="2">
        <f t="shared" si="0"/>
        <v>9</v>
      </c>
      <c r="I35" s="2">
        <f t="shared" si="1"/>
        <v>2.1088709677419355</v>
      </c>
      <c r="J35" s="3">
        <f>F35-IFERROR(VLOOKUP($A35,'0701'!$A$1:'0701'!G$79,6,FALSE),IFERROR(VLOOKUP($C35,'0701'!$C$1:'0701'!G$79,4,FALSE),F35-D35))</f>
        <v>1</v>
      </c>
      <c r="K35" s="5">
        <f>G35-IFERROR(VLOOKUP($A35,'0701'!$A$1:'0701'!H$79,7,FALSE),IFERROR(VLOOKUP($C35,'0701'!$C$1:'0701'!H$79,5,FALSE),G35-E35))</f>
        <v>0</v>
      </c>
      <c r="L35" s="2">
        <f t="shared" si="2"/>
        <v>0</v>
      </c>
    </row>
    <row r="36" spans="1:13" x14ac:dyDescent="0.25">
      <c r="A36" t="s">
        <v>58</v>
      </c>
      <c r="B36" t="s">
        <v>11</v>
      </c>
      <c r="C36" s="1">
        <v>46031</v>
      </c>
      <c r="D36">
        <v>408</v>
      </c>
      <c r="E36">
        <v>65</v>
      </c>
      <c r="F36">
        <v>3027</v>
      </c>
      <c r="G36">
        <v>1465</v>
      </c>
      <c r="H36" s="2">
        <f t="shared" si="0"/>
        <v>0.15931372549019607</v>
      </c>
      <c r="I36" s="2">
        <f t="shared" si="1"/>
        <v>0.48397753551370992</v>
      </c>
      <c r="J36" s="3">
        <f>F36-IFERROR(VLOOKUP($A36,'0701'!$A$1:'0701'!G$79,6,FALSE),IFERROR(VLOOKUP($C36,'0701'!$C$1:'0701'!G$79,4,FALSE),F36-D36))</f>
        <v>8</v>
      </c>
      <c r="K36" s="5">
        <f>G36-IFERROR(VLOOKUP($A36,'0701'!$A$1:'0701'!H$79,7,FALSE),IFERROR(VLOOKUP($C36,'0701'!$C$1:'0701'!H$79,5,FALSE),G36-E36))</f>
        <v>0</v>
      </c>
      <c r="L36" s="2">
        <f t="shared" si="2"/>
        <v>0</v>
      </c>
    </row>
    <row r="37" spans="1:13" x14ac:dyDescent="0.25">
      <c r="A37" t="s">
        <v>59</v>
      </c>
      <c r="B37" t="s">
        <v>11</v>
      </c>
      <c r="C37" s="1">
        <v>46007</v>
      </c>
      <c r="D37">
        <v>27</v>
      </c>
      <c r="E37">
        <v>3</v>
      </c>
      <c r="F37">
        <v>1542</v>
      </c>
      <c r="G37">
        <v>926</v>
      </c>
      <c r="H37" s="2">
        <f t="shared" si="0"/>
        <v>0.1111111111111111</v>
      </c>
      <c r="I37" s="2">
        <f t="shared" si="1"/>
        <v>0.60051880674448765</v>
      </c>
      <c r="J37" s="3">
        <f>F37-IFERROR(VLOOKUP($A37,'0701'!$A$1:'0701'!G$79,6,FALSE),IFERROR(VLOOKUP($C37,'0701'!$C$1:'0701'!G$79,4,FALSE),F37-D37))</f>
        <v>0</v>
      </c>
      <c r="K37" s="5">
        <f>G37-IFERROR(VLOOKUP($A37,'0701'!$A$1:'0701'!H$79,7,FALSE),IFERROR(VLOOKUP($C37,'0701'!$C$1:'0701'!H$79,5,FALSE),G37-E37))</f>
        <v>0</v>
      </c>
      <c r="L37" s="2">
        <f t="shared" si="2"/>
        <v>0</v>
      </c>
    </row>
    <row r="38" spans="1:13" x14ac:dyDescent="0.25">
      <c r="A38" t="s">
        <v>80</v>
      </c>
      <c r="B38" t="s">
        <v>11</v>
      </c>
      <c r="C38" s="1">
        <v>45995</v>
      </c>
      <c r="D38">
        <v>13</v>
      </c>
      <c r="E38">
        <v>7</v>
      </c>
      <c r="F38">
        <v>4483</v>
      </c>
      <c r="G38">
        <v>1457</v>
      </c>
      <c r="H38" s="2">
        <f t="shared" si="0"/>
        <v>0.53846153846153844</v>
      </c>
      <c r="I38" s="2">
        <f t="shared" si="1"/>
        <v>0.32500557662279722</v>
      </c>
      <c r="J38" s="3">
        <f>F38-IFERROR(VLOOKUP($A38,'0701'!$A$1:'0701'!G$79,6,FALSE),IFERROR(VLOOKUP($C38,'0701'!$C$1:'0701'!G$79,4,FALSE),F38-D38))</f>
        <v>13</v>
      </c>
      <c r="K38" s="5">
        <f>G38-IFERROR(VLOOKUP($A38,'0701'!$A$1:'0701'!H$79,7,FALSE),IFERROR(VLOOKUP($C38,'0701'!$C$1:'0701'!H$79,5,FALSE),G38-E38))</f>
        <v>7</v>
      </c>
      <c r="L38" s="2">
        <f t="shared" si="2"/>
        <v>0.53846153846153844</v>
      </c>
    </row>
    <row r="39" spans="1:13" x14ac:dyDescent="0.25">
      <c r="A39" t="s">
        <v>61</v>
      </c>
      <c r="B39" t="s">
        <v>11</v>
      </c>
      <c r="C39" s="1">
        <v>45982</v>
      </c>
      <c r="D39">
        <v>33</v>
      </c>
      <c r="E39">
        <v>3</v>
      </c>
      <c r="F39">
        <v>340</v>
      </c>
      <c r="G39">
        <v>940</v>
      </c>
      <c r="H39" s="2">
        <f t="shared" si="0"/>
        <v>9.0909090909090912E-2</v>
      </c>
      <c r="I39" s="2">
        <f t="shared" si="1"/>
        <v>2.7647058823529411</v>
      </c>
      <c r="J39" s="3">
        <f>F39-IFERROR(VLOOKUP($A39,'0701'!$A$1:'0701'!G$79,6,FALSE),IFERROR(VLOOKUP($C39,'0701'!$C$1:'0701'!G$79,4,FALSE),F39-D39))</f>
        <v>3</v>
      </c>
      <c r="K39" s="5">
        <f>G39-IFERROR(VLOOKUP($A39,'0701'!$A$1:'0701'!H$79,7,FALSE),IFERROR(VLOOKUP($C39,'0701'!$C$1:'0701'!H$79,5,FALSE),G39-E39))</f>
        <v>0</v>
      </c>
      <c r="L39" s="2">
        <f t="shared" si="2"/>
        <v>0</v>
      </c>
    </row>
    <row r="40" spans="1:13" x14ac:dyDescent="0.25">
      <c r="A40" t="s">
        <v>62</v>
      </c>
      <c r="B40" t="s">
        <v>11</v>
      </c>
      <c r="C40" s="1">
        <v>45973</v>
      </c>
      <c r="D40">
        <v>26</v>
      </c>
      <c r="E40">
        <v>3</v>
      </c>
      <c r="F40">
        <v>20299</v>
      </c>
      <c r="G40">
        <v>6787</v>
      </c>
      <c r="H40" s="2">
        <f t="shared" si="0"/>
        <v>0.11538461538461539</v>
      </c>
      <c r="I40" s="2">
        <f t="shared" si="1"/>
        <v>0.3343514458840337</v>
      </c>
      <c r="J40" s="3">
        <f>F40-IFERROR(VLOOKUP($A40,'0701'!$A$1:'0701'!G$79,6,FALSE),IFERROR(VLOOKUP($C40,'0701'!$C$1:'0701'!G$79,4,FALSE),F40-D40))</f>
        <v>1</v>
      </c>
      <c r="K40" s="5">
        <f>G40-IFERROR(VLOOKUP($A40,'0701'!$A$1:'0701'!H$79,7,FALSE),IFERROR(VLOOKUP($C40,'0701'!$C$1:'0701'!H$79,5,FALSE),G40-E40))</f>
        <v>0</v>
      </c>
      <c r="L40" s="2">
        <f t="shared" si="2"/>
        <v>0</v>
      </c>
    </row>
    <row r="41" spans="1:13" x14ac:dyDescent="0.25">
      <c r="A41" t="s">
        <v>63</v>
      </c>
      <c r="B41" t="s">
        <v>11</v>
      </c>
      <c r="C41" s="1">
        <v>45968</v>
      </c>
      <c r="D41">
        <v>4</v>
      </c>
      <c r="E41">
        <v>7</v>
      </c>
      <c r="F41">
        <v>167</v>
      </c>
      <c r="G41">
        <v>241</v>
      </c>
      <c r="H41" s="2">
        <f t="shared" si="0"/>
        <v>1.75</v>
      </c>
      <c r="I41" s="2">
        <f t="shared" si="1"/>
        <v>1.4431137724550898</v>
      </c>
      <c r="J41" s="3">
        <f>F41-IFERROR(VLOOKUP($A41,'0701'!$A$1:'0701'!G$79,6,FALSE),IFERROR(VLOOKUP($C41,'0701'!$C$1:'0701'!G$79,4,FALSE),F41-D41))</f>
        <v>0</v>
      </c>
      <c r="K41" s="5">
        <f>G41-IFERROR(VLOOKUP($A41,'0701'!$A$1:'0701'!H$79,7,FALSE),IFERROR(VLOOKUP($C41,'0701'!$C$1:'0701'!H$79,5,FALSE),G41-E41))</f>
        <v>0</v>
      </c>
      <c r="L41" s="2">
        <f t="shared" si="2"/>
        <v>0</v>
      </c>
    </row>
    <row r="42" spans="1:13" x14ac:dyDescent="0.25">
      <c r="A42" t="s">
        <v>64</v>
      </c>
      <c r="B42" t="s">
        <v>11</v>
      </c>
      <c r="C42" s="1">
        <v>45937</v>
      </c>
      <c r="D42">
        <v>21</v>
      </c>
      <c r="E42">
        <v>5</v>
      </c>
      <c r="F42">
        <v>994</v>
      </c>
      <c r="G42">
        <v>654</v>
      </c>
      <c r="H42" s="2">
        <f t="shared" si="0"/>
        <v>0.23809523809523808</v>
      </c>
      <c r="I42" s="2">
        <f t="shared" si="1"/>
        <v>0.65794768611670018</v>
      </c>
      <c r="J42" s="3">
        <f>F42-IFERROR(VLOOKUP($A42,'0701'!$A$1:'0701'!G$79,6,FALSE),IFERROR(VLOOKUP($C42,'0701'!$C$1:'0701'!G$79,4,FALSE),F42-D42))</f>
        <v>1</v>
      </c>
      <c r="K42" s="5">
        <f>G42-IFERROR(VLOOKUP($A42,'0701'!$A$1:'0701'!H$79,7,FALSE),IFERROR(VLOOKUP($C42,'0701'!$C$1:'0701'!H$79,5,FALSE),G42-E42))</f>
        <v>0</v>
      </c>
      <c r="L42" s="2">
        <f t="shared" si="2"/>
        <v>0</v>
      </c>
    </row>
    <row r="43" spans="1:13" x14ac:dyDescent="0.25">
      <c r="A43" t="s">
        <v>65</v>
      </c>
      <c r="B43" t="s">
        <v>11</v>
      </c>
      <c r="C43" s="1">
        <v>45933</v>
      </c>
      <c r="D43">
        <v>24</v>
      </c>
      <c r="E43">
        <v>1</v>
      </c>
      <c r="F43">
        <v>356</v>
      </c>
      <c r="G43">
        <v>539</v>
      </c>
      <c r="H43" s="2">
        <f t="shared" si="0"/>
        <v>4.1666666666666664E-2</v>
      </c>
      <c r="I43" s="2">
        <f t="shared" si="1"/>
        <v>1.5140449438202248</v>
      </c>
      <c r="J43" s="3">
        <f>F43-IFERROR(VLOOKUP($A43,'0701'!$A$1:'0701'!G$79,6,FALSE),IFERROR(VLOOKUP($C43,'0701'!$C$1:'0701'!G$79,4,FALSE),F43-D43))</f>
        <v>0</v>
      </c>
      <c r="K43" s="5">
        <f>G43-IFERROR(VLOOKUP($A43,'0701'!$A$1:'0701'!H$79,7,FALSE),IFERROR(VLOOKUP($C43,'0701'!$C$1:'0701'!H$79,5,FALSE),G43-E43))</f>
        <v>0</v>
      </c>
      <c r="L43" s="2">
        <f t="shared" si="2"/>
        <v>0</v>
      </c>
    </row>
    <row r="44" spans="1:13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 s="2">
        <f t="shared" si="0"/>
        <v>0.15384615384615385</v>
      </c>
      <c r="I44" s="2">
        <f t="shared" si="1"/>
        <v>0.76772616136919314</v>
      </c>
      <c r="J44" s="3">
        <f>F44-IFERROR(VLOOKUP($A44,'0701'!$A$1:'0701'!G$79,6,FALSE),IFERROR(VLOOKUP($C44,'0701'!$C$1:'0701'!G$79,4,FALSE),F44-D44))</f>
        <v>0</v>
      </c>
      <c r="K44" s="5">
        <f>G44-IFERROR(VLOOKUP($A44,'0701'!$A$1:'0701'!H$79,7,FALSE),IFERROR(VLOOKUP($C44,'0701'!$C$1:'0701'!H$79,5,FALSE),G44-E44))</f>
        <v>0</v>
      </c>
      <c r="L44" s="2">
        <f t="shared" si="2"/>
        <v>0</v>
      </c>
    </row>
    <row r="45" spans="1:13" x14ac:dyDescent="0.25">
      <c r="A45" t="s">
        <v>67</v>
      </c>
      <c r="B45" t="s">
        <v>11</v>
      </c>
      <c r="C45" s="1">
        <v>45927</v>
      </c>
      <c r="D45">
        <v>4</v>
      </c>
      <c r="E45">
        <v>1</v>
      </c>
      <c r="F45">
        <v>239</v>
      </c>
      <c r="G45">
        <v>680</v>
      </c>
      <c r="H45" s="2">
        <f t="shared" si="0"/>
        <v>0.25</v>
      </c>
      <c r="I45" s="2">
        <f t="shared" si="1"/>
        <v>2.8451882845188283</v>
      </c>
      <c r="J45" s="3">
        <f>F45-IFERROR(VLOOKUP($A45,'0701'!$A$1:'0701'!G$79,6,FALSE),IFERROR(VLOOKUP($C45,'0701'!$C$1:'0701'!G$79,4,FALSE),F45-D45))</f>
        <v>0</v>
      </c>
      <c r="K45" s="5">
        <f>G45-IFERROR(VLOOKUP($A45,'0701'!$A$1:'0701'!H$79,7,FALSE),IFERROR(VLOOKUP($C45,'0701'!$C$1:'0701'!H$79,5,FALSE),G45-E45))</f>
        <v>0</v>
      </c>
      <c r="L45" s="2">
        <f t="shared" si="2"/>
        <v>0</v>
      </c>
    </row>
    <row r="46" spans="1:13" x14ac:dyDescent="0.25">
      <c r="A46" t="s">
        <v>68</v>
      </c>
      <c r="B46" t="s">
        <v>11</v>
      </c>
      <c r="C46" s="1">
        <v>45899</v>
      </c>
      <c r="D46">
        <v>4</v>
      </c>
      <c r="E46">
        <v>1</v>
      </c>
      <c r="F46">
        <v>805</v>
      </c>
      <c r="G46">
        <v>538</v>
      </c>
      <c r="H46" s="2">
        <f t="shared" si="0"/>
        <v>0.25</v>
      </c>
      <c r="I46" s="2">
        <f t="shared" si="1"/>
        <v>0.66832298136645962</v>
      </c>
      <c r="J46" s="3">
        <f>F46-IFERROR(VLOOKUP($A46,'0701'!$A$1:'0701'!G$79,6,FALSE),IFERROR(VLOOKUP($C46,'0701'!$C$1:'0701'!G$79,4,FALSE),F46-D46))</f>
        <v>0</v>
      </c>
      <c r="K46" s="5">
        <f>G46-IFERROR(VLOOKUP($A46,'0701'!$A$1:'0701'!H$79,7,FALSE),IFERROR(VLOOKUP($C46,'0701'!$C$1:'0701'!H$79,5,FALSE),G46-E46))</f>
        <v>0</v>
      </c>
      <c r="L46" s="2">
        <f t="shared" si="2"/>
        <v>0</v>
      </c>
    </row>
    <row r="47" spans="1:13" x14ac:dyDescent="0.25">
      <c r="A47" t="s">
        <v>74</v>
      </c>
      <c r="B47" t="s">
        <v>11</v>
      </c>
      <c r="C47" s="1">
        <v>45847</v>
      </c>
      <c r="D47">
        <v>12</v>
      </c>
      <c r="E47">
        <v>2</v>
      </c>
      <c r="F47">
        <v>446</v>
      </c>
      <c r="G47">
        <v>248</v>
      </c>
      <c r="H47" s="2">
        <f t="shared" si="0"/>
        <v>0.16666666666666666</v>
      </c>
      <c r="I47" s="2">
        <f t="shared" si="1"/>
        <v>0.55605381165919288</v>
      </c>
      <c r="J47" s="3">
        <f>F47-IFERROR(VLOOKUP($A47,'0701'!$A$1:'0701'!G$79,6,FALSE),IFERROR(VLOOKUP($C47,'0701'!$C$1:'0701'!G$79,4,FALSE),F47-D47))</f>
        <v>0</v>
      </c>
      <c r="K47" s="5">
        <f>G47-IFERROR(VLOOKUP($A47,'0701'!$A$1:'0701'!H$79,7,FALSE),IFERROR(VLOOKUP($C47,'0701'!$C$1:'0701'!H$79,5,FALSE),G47-E47))</f>
        <v>0</v>
      </c>
      <c r="L47" s="2">
        <f t="shared" si="2"/>
        <v>0</v>
      </c>
    </row>
    <row r="48" spans="1:13" x14ac:dyDescent="0.25">
      <c r="K48">
        <f>SUM(K2:K47)</f>
        <v>970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1"/>
  <sheetViews>
    <sheetView workbookViewId="0">
      <selection activeCell="O23" sqref="O23"/>
    </sheetView>
  </sheetViews>
  <sheetFormatPr defaultColWidth="10" defaultRowHeight="14.4" x14ac:dyDescent="0.25"/>
  <cols>
    <col min="1" max="1" width="58" customWidth="1"/>
    <col min="2" max="2" width="2.21875" customWidth="1"/>
    <col min="4" max="7" width="5.88671875" customWidth="1"/>
    <col min="8" max="9" width="6.77734375" customWidth="1"/>
    <col min="10" max="10" width="7.6640625" customWidth="1"/>
    <col min="11" max="12" width="6.77734375" customWidth="1"/>
    <col min="13" max="13" width="20.33203125" customWidth="1"/>
    <col min="14" max="14" width="20.21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s="3" t="s">
        <v>7</v>
      </c>
      <c r="K1" s="3" t="s">
        <v>8</v>
      </c>
      <c r="M1" s="4" t="s">
        <v>9</v>
      </c>
    </row>
    <row r="2" spans="1:14" x14ac:dyDescent="0.25">
      <c r="A2" t="s">
        <v>81</v>
      </c>
      <c r="B2" t="s">
        <v>13</v>
      </c>
      <c r="C2" s="1">
        <v>46205</v>
      </c>
      <c r="D2">
        <v>1854</v>
      </c>
      <c r="E2">
        <v>131</v>
      </c>
      <c r="F2">
        <v>1854</v>
      </c>
      <c r="G2">
        <v>131</v>
      </c>
      <c r="H2" s="2">
        <f>E2/D2</f>
        <v>7.0658036677454156E-2</v>
      </c>
      <c r="I2" s="2">
        <f>G2/F2</f>
        <v>7.0658036677454156E-2</v>
      </c>
      <c r="J2" s="3">
        <f>F2-IFERROR(VLOOKUP($A2,'0702'!$A$1:'0702'!G$79,6,FALSE),IFERROR(VLOOKUP($C2,'0702'!$C$1:'0702'!G$79,4,FALSE),F2-D2))</f>
        <v>1854</v>
      </c>
      <c r="K2" s="5">
        <f>G2-IFERROR(VLOOKUP($A2,'0702'!$A$1:'0702'!H$79,7,FALSE),IFERROR(VLOOKUP($C2,'0702'!$C$1:'0702'!H$79,5,FALSE),G2-E2))</f>
        <v>131</v>
      </c>
      <c r="L2" s="2">
        <f>IFERROR(K2/J2,)</f>
        <v>7.0658036677454156E-2</v>
      </c>
      <c r="M2" s="4"/>
    </row>
    <row r="3" spans="1:14" x14ac:dyDescent="0.25">
      <c r="A3" t="s">
        <v>82</v>
      </c>
      <c r="B3" t="s">
        <v>11</v>
      </c>
      <c r="C3" s="1">
        <v>46205</v>
      </c>
      <c r="D3">
        <v>202</v>
      </c>
      <c r="E3">
        <v>733</v>
      </c>
      <c r="F3">
        <v>202</v>
      </c>
      <c r="G3">
        <v>733</v>
      </c>
      <c r="H3" s="2">
        <f t="shared" ref="H3:H50" si="0">E3/D3</f>
        <v>3.6287128712871288</v>
      </c>
      <c r="I3" s="2">
        <f t="shared" ref="I3:I50" si="1">G3/F3</f>
        <v>3.6287128712871288</v>
      </c>
      <c r="J3" s="3">
        <f>F3-IFERROR(VLOOKUP($A3,'0702'!$A$1:'0702'!G$79,6,FALSE),IFERROR(VLOOKUP($C3,'0702'!$C$1:'0702'!G$79,4,FALSE),F3-D3))</f>
        <v>202</v>
      </c>
      <c r="K3" s="5">
        <f>G3-IFERROR(VLOOKUP($A3,'0702'!$A$1:'0702'!H$79,7,FALSE),IFERROR(VLOOKUP($C3,'0702'!$C$1:'0702'!H$79,5,FALSE),G3-E3))</f>
        <v>733</v>
      </c>
      <c r="L3" s="2">
        <f t="shared" ref="L3:L50" si="2">IFERROR(K3/J3,)</f>
        <v>3.6287128712871288</v>
      </c>
      <c r="M3" s="4"/>
    </row>
    <row r="4" spans="1:14" x14ac:dyDescent="0.25">
      <c r="A4" t="s">
        <v>75</v>
      </c>
      <c r="B4" t="s">
        <v>13</v>
      </c>
      <c r="C4" s="1">
        <v>46204</v>
      </c>
      <c r="D4">
        <v>467</v>
      </c>
      <c r="E4">
        <v>212</v>
      </c>
      <c r="F4">
        <v>467</v>
      </c>
      <c r="G4">
        <v>212</v>
      </c>
      <c r="H4" s="2">
        <f t="shared" si="0"/>
        <v>0.45396145610278371</v>
      </c>
      <c r="I4" s="2">
        <f t="shared" si="1"/>
        <v>0.45396145610278371</v>
      </c>
      <c r="J4" s="3">
        <f>F4-IFERROR(VLOOKUP($A4,'0702'!$A$1:'0702'!G$79,6,FALSE),IFERROR(VLOOKUP($C4,'0702'!$C$1:'0702'!G$79,4,FALSE),F4-D4))</f>
        <v>121</v>
      </c>
      <c r="K4" s="5">
        <f>G4-IFERROR(VLOOKUP($A4,'0702'!$A$1:'0702'!H$79,7,FALSE),IFERROR(VLOOKUP($C4,'0702'!$C$1:'0702'!H$79,5,FALSE),G4-E4))</f>
        <v>29</v>
      </c>
      <c r="L4" s="2">
        <f t="shared" si="2"/>
        <v>0.23966942148760331</v>
      </c>
      <c r="M4" s="4"/>
    </row>
    <row r="5" spans="1:14" x14ac:dyDescent="0.25">
      <c r="A5" t="s">
        <v>76</v>
      </c>
      <c r="B5" t="s">
        <v>11</v>
      </c>
      <c r="C5" s="1">
        <v>46204</v>
      </c>
      <c r="D5">
        <v>130</v>
      </c>
      <c r="E5">
        <v>310</v>
      </c>
      <c r="F5">
        <v>130</v>
      </c>
      <c r="G5">
        <v>310</v>
      </c>
      <c r="H5" s="2">
        <f t="shared" si="0"/>
        <v>2.3846153846153846</v>
      </c>
      <c r="I5" s="2">
        <f t="shared" si="1"/>
        <v>2.3846153846153846</v>
      </c>
      <c r="J5" s="3">
        <f>F5-IFERROR(VLOOKUP($A5,'0702'!$A$1:'0702'!G$79,6,FALSE),IFERROR(VLOOKUP($C5,'0702'!$C$1:'0702'!G$79,4,FALSE),F5-D5))</f>
        <v>72</v>
      </c>
      <c r="K5" s="5">
        <f>G5-IFERROR(VLOOKUP($A5,'0702'!$A$1:'0702'!H$79,7,FALSE),IFERROR(VLOOKUP($C5,'0702'!$C$1:'0702'!H$79,5,FALSE),G5-E5))</f>
        <v>92</v>
      </c>
      <c r="L5" s="2">
        <f t="shared" si="2"/>
        <v>1.2777777777777777</v>
      </c>
      <c r="M5" s="4"/>
    </row>
    <row r="6" spans="1:14" x14ac:dyDescent="0.25">
      <c r="A6" t="s">
        <v>10</v>
      </c>
      <c r="B6" t="s">
        <v>11</v>
      </c>
      <c r="C6" s="1">
        <v>46203</v>
      </c>
      <c r="D6">
        <v>75</v>
      </c>
      <c r="E6">
        <v>638</v>
      </c>
      <c r="F6">
        <v>75</v>
      </c>
      <c r="G6">
        <v>638</v>
      </c>
      <c r="H6" s="2">
        <f t="shared" si="0"/>
        <v>8.5066666666666659</v>
      </c>
      <c r="I6" s="2">
        <f t="shared" si="1"/>
        <v>8.5066666666666659</v>
      </c>
      <c r="J6" s="3">
        <f>F6-IFERROR(VLOOKUP($A6,'0702'!$A$1:'0702'!G$79,6,FALSE),IFERROR(VLOOKUP($C6,'0702'!$C$1:'0702'!G$79,4,FALSE),F6-D6))</f>
        <v>8</v>
      </c>
      <c r="K6" s="5">
        <f>G6-IFERROR(VLOOKUP($A6,'0702'!$A$1:'0702'!H$79,7,FALSE),IFERROR(VLOOKUP($C6,'0702'!$C$1:'0702'!H$79,5,FALSE),G6-E6))</f>
        <v>34</v>
      </c>
      <c r="L6" s="2">
        <f t="shared" si="2"/>
        <v>4.25</v>
      </c>
      <c r="M6" s="4"/>
    </row>
    <row r="7" spans="1:14" x14ac:dyDescent="0.25">
      <c r="A7" t="s">
        <v>12</v>
      </c>
      <c r="B7" t="s">
        <v>13</v>
      </c>
      <c r="C7" s="1">
        <v>46203</v>
      </c>
      <c r="D7">
        <v>678</v>
      </c>
      <c r="E7">
        <v>114</v>
      </c>
      <c r="F7">
        <v>678</v>
      </c>
      <c r="G7">
        <v>114</v>
      </c>
      <c r="H7" s="2">
        <f t="shared" si="0"/>
        <v>0.16814159292035399</v>
      </c>
      <c r="I7" s="2">
        <f t="shared" si="1"/>
        <v>0.16814159292035399</v>
      </c>
      <c r="J7" s="3">
        <f>F7-IFERROR(VLOOKUP($A7,'0702'!$A$1:'0702'!G$79,6,FALSE),IFERROR(VLOOKUP($C7,'0702'!$C$1:'0702'!G$79,4,FALSE),F7-D7))</f>
        <v>75</v>
      </c>
      <c r="K7" s="5">
        <f>G7-IFERROR(VLOOKUP($A7,'0702'!$A$1:'0702'!H$79,7,FALSE),IFERROR(VLOOKUP($C7,'0702'!$C$1:'0702'!H$79,5,FALSE),G7-E7))</f>
        <v>7</v>
      </c>
      <c r="L7" s="2">
        <f t="shared" si="2"/>
        <v>9.3333333333333338E-2</v>
      </c>
      <c r="M7" s="4"/>
    </row>
    <row r="8" spans="1:14" x14ac:dyDescent="0.25">
      <c r="A8" t="s">
        <v>14</v>
      </c>
      <c r="B8" t="s">
        <v>11</v>
      </c>
      <c r="C8" s="1">
        <v>46202</v>
      </c>
      <c r="D8">
        <v>96</v>
      </c>
      <c r="E8">
        <v>867</v>
      </c>
      <c r="F8">
        <v>96</v>
      </c>
      <c r="G8">
        <v>867</v>
      </c>
      <c r="H8" s="2">
        <f t="shared" si="0"/>
        <v>9.03125</v>
      </c>
      <c r="I8" s="2">
        <f t="shared" si="1"/>
        <v>9.03125</v>
      </c>
      <c r="J8" s="3">
        <f>F8-IFERROR(VLOOKUP($A8,'0702'!$A$1:'0702'!G$79,6,FALSE),IFERROR(VLOOKUP($C8,'0702'!$C$1:'0702'!G$79,4,FALSE),F8-D8))</f>
        <v>7</v>
      </c>
      <c r="K8" s="5">
        <f>G8-IFERROR(VLOOKUP($A8,'0702'!$A$1:'0702'!H$79,7,FALSE),IFERROR(VLOOKUP($C8,'0702'!$C$1:'0702'!H$79,5,FALSE),G8-E8))</f>
        <v>34</v>
      </c>
      <c r="L8" s="2">
        <f t="shared" si="2"/>
        <v>4.8571428571428568</v>
      </c>
      <c r="M8" s="4" t="s">
        <v>83</v>
      </c>
    </row>
    <row r="9" spans="1:14" x14ac:dyDescent="0.25">
      <c r="A9" t="s">
        <v>15</v>
      </c>
      <c r="B9" t="s">
        <v>13</v>
      </c>
      <c r="C9" s="1">
        <v>46202</v>
      </c>
      <c r="D9">
        <v>483</v>
      </c>
      <c r="E9">
        <v>205</v>
      </c>
      <c r="F9">
        <v>483</v>
      </c>
      <c r="G9">
        <v>205</v>
      </c>
      <c r="H9" s="2">
        <f t="shared" si="0"/>
        <v>0.42443064182194618</v>
      </c>
      <c r="I9" s="2">
        <f t="shared" si="1"/>
        <v>0.42443064182194618</v>
      </c>
      <c r="J9" s="3">
        <f>F9-IFERROR(VLOOKUP($A9,'0702'!$A$1:'0702'!G$79,6,FALSE),IFERROR(VLOOKUP($C9,'0702'!$C$1:'0702'!G$79,4,FALSE),F9-D9))</f>
        <v>32</v>
      </c>
      <c r="K9" s="5">
        <f>G9-IFERROR(VLOOKUP($A9,'0702'!$A$1:'0702'!H$79,7,FALSE),IFERROR(VLOOKUP($C9,'0702'!$C$1:'0702'!H$79,5,FALSE),G9-E9))</f>
        <v>0</v>
      </c>
      <c r="L9" s="2">
        <f t="shared" si="2"/>
        <v>0</v>
      </c>
      <c r="M9" s="4"/>
    </row>
    <row r="10" spans="1:14" x14ac:dyDescent="0.25">
      <c r="A10" t="s">
        <v>16</v>
      </c>
      <c r="B10" t="s">
        <v>13</v>
      </c>
      <c r="C10" s="1">
        <v>46201</v>
      </c>
      <c r="D10">
        <v>412</v>
      </c>
      <c r="E10">
        <v>310</v>
      </c>
      <c r="F10">
        <v>412</v>
      </c>
      <c r="G10">
        <v>310</v>
      </c>
      <c r="H10" s="2">
        <f t="shared" si="0"/>
        <v>0.75242718446601942</v>
      </c>
      <c r="I10" s="2">
        <f t="shared" si="1"/>
        <v>0.75242718446601942</v>
      </c>
      <c r="J10" s="3">
        <f>F10-IFERROR(VLOOKUP($A10,'0702'!$A$1:'0702'!G$79,6,FALSE),IFERROR(VLOOKUP($C10,'0702'!$C$1:'0702'!G$79,4,FALSE),F10-D10))</f>
        <v>8</v>
      </c>
      <c r="K10" s="5">
        <f>G10-IFERROR(VLOOKUP($A10,'0702'!$A$1:'0702'!H$79,7,FALSE),IFERROR(VLOOKUP($C10,'0702'!$C$1:'0702'!H$79,5,FALSE),G10-E10))</f>
        <v>0</v>
      </c>
      <c r="L10" s="2">
        <f t="shared" si="2"/>
        <v>0</v>
      </c>
      <c r="M10" s="4"/>
    </row>
    <row r="11" spans="1:14" x14ac:dyDescent="0.25">
      <c r="A11" t="s">
        <v>17</v>
      </c>
      <c r="B11" t="s">
        <v>11</v>
      </c>
      <c r="C11" s="1">
        <v>46201</v>
      </c>
      <c r="D11">
        <v>319</v>
      </c>
      <c r="E11">
        <v>967</v>
      </c>
      <c r="F11">
        <v>319</v>
      </c>
      <c r="G11">
        <v>967</v>
      </c>
      <c r="H11" s="2">
        <f t="shared" si="0"/>
        <v>3.0313479623824451</v>
      </c>
      <c r="I11" s="2">
        <f t="shared" si="1"/>
        <v>3.0313479623824451</v>
      </c>
      <c r="J11" s="3">
        <f>F11-IFERROR(VLOOKUP($A11,'0702'!$A$1:'0702'!G$79,6,FALSE),IFERROR(VLOOKUP($C11,'0702'!$C$1:'0702'!G$79,4,FALSE),F11-D11))</f>
        <v>33</v>
      </c>
      <c r="K11" s="5">
        <f>G11-IFERROR(VLOOKUP($A11,'0702'!$A$1:'0702'!H$79,7,FALSE),IFERROR(VLOOKUP($C11,'0702'!$C$1:'0702'!H$79,5,FALSE),G11-E11))</f>
        <v>0</v>
      </c>
      <c r="L11" s="2">
        <f t="shared" si="2"/>
        <v>0</v>
      </c>
      <c r="M11" s="4"/>
    </row>
    <row r="12" spans="1:14" x14ac:dyDescent="0.25">
      <c r="A12" t="s">
        <v>18</v>
      </c>
      <c r="B12" t="s">
        <v>11</v>
      </c>
      <c r="C12" s="1">
        <v>46200</v>
      </c>
      <c r="D12">
        <v>146</v>
      </c>
      <c r="E12">
        <v>492</v>
      </c>
      <c r="F12">
        <v>146</v>
      </c>
      <c r="G12">
        <v>492</v>
      </c>
      <c r="H12" s="2">
        <f t="shared" si="0"/>
        <v>3.3698630136986303</v>
      </c>
      <c r="I12" s="2">
        <f t="shared" si="1"/>
        <v>3.3698630136986303</v>
      </c>
      <c r="J12" s="3">
        <f>F12-IFERROR(VLOOKUP($A12,'0702'!$A$1:'0702'!G$79,6,FALSE),IFERROR(VLOOKUP($C12,'0702'!$C$1:'0702'!G$79,4,FALSE),F12-D12))</f>
        <v>34</v>
      </c>
      <c r="K12" s="5">
        <f>G12-IFERROR(VLOOKUP($A12,'0702'!$A$1:'0702'!H$79,7,FALSE),IFERROR(VLOOKUP($C12,'0702'!$C$1:'0702'!H$79,5,FALSE),G12-E12))</f>
        <v>127</v>
      </c>
      <c r="L12" s="2">
        <f t="shared" si="2"/>
        <v>3.7352941176470589</v>
      </c>
      <c r="M12" s="4"/>
    </row>
    <row r="13" spans="1:14" x14ac:dyDescent="0.25">
      <c r="A13" t="s">
        <v>19</v>
      </c>
      <c r="B13" t="s">
        <v>11</v>
      </c>
      <c r="C13" s="1">
        <v>46199</v>
      </c>
      <c r="D13">
        <v>119</v>
      </c>
      <c r="E13">
        <v>430</v>
      </c>
      <c r="F13">
        <v>119</v>
      </c>
      <c r="G13">
        <v>430</v>
      </c>
      <c r="H13" s="2">
        <f t="shared" si="0"/>
        <v>3.6134453781512605</v>
      </c>
      <c r="I13" s="2">
        <f t="shared" si="1"/>
        <v>3.6134453781512605</v>
      </c>
      <c r="J13" s="3">
        <f>F13-IFERROR(VLOOKUP($A13,'0702'!$A$1:'0702'!G$79,6,FALSE),IFERROR(VLOOKUP($C13,'0702'!$C$1:'0702'!G$79,4,FALSE),F13-D13))</f>
        <v>4</v>
      </c>
      <c r="K13" s="5">
        <f>G13-IFERROR(VLOOKUP($A13,'0702'!$A$1:'0702'!H$79,7,FALSE),IFERROR(VLOOKUP($C13,'0702'!$C$1:'0702'!H$79,5,FALSE),G13-E13))</f>
        <v>0</v>
      </c>
      <c r="L13" s="2">
        <f t="shared" si="2"/>
        <v>0</v>
      </c>
      <c r="M13" s="4"/>
    </row>
    <row r="14" spans="1:14" x14ac:dyDescent="0.25">
      <c r="A14" t="s">
        <v>20</v>
      </c>
      <c r="B14" t="s">
        <v>13</v>
      </c>
      <c r="C14" s="1">
        <v>46199</v>
      </c>
      <c r="D14">
        <v>588</v>
      </c>
      <c r="E14">
        <v>198</v>
      </c>
      <c r="F14">
        <v>588</v>
      </c>
      <c r="G14">
        <v>198</v>
      </c>
      <c r="H14" s="2">
        <f t="shared" si="0"/>
        <v>0.33673469387755101</v>
      </c>
      <c r="I14" s="2">
        <f t="shared" si="1"/>
        <v>0.33673469387755101</v>
      </c>
      <c r="J14" s="3">
        <f>F14-IFERROR(VLOOKUP($A14,'0702'!$A$1:'0702'!G$79,6,FALSE),IFERROR(VLOOKUP($C14,'0702'!$C$1:'0702'!G$79,4,FALSE),F14-D14))</f>
        <v>5</v>
      </c>
      <c r="K14" s="5">
        <f>G14-IFERROR(VLOOKUP($A14,'0702'!$A$1:'0702'!H$79,7,FALSE),IFERROR(VLOOKUP($C14,'0702'!$C$1:'0702'!H$79,5,FALSE),G14-E14))</f>
        <v>0</v>
      </c>
      <c r="L14" s="2">
        <f t="shared" si="2"/>
        <v>0</v>
      </c>
      <c r="M14" s="4"/>
    </row>
    <row r="15" spans="1:14" x14ac:dyDescent="0.25">
      <c r="A15" t="s">
        <v>21</v>
      </c>
      <c r="B15" t="s">
        <v>11</v>
      </c>
      <c r="C15" s="1">
        <v>46198</v>
      </c>
      <c r="D15">
        <v>137</v>
      </c>
      <c r="E15">
        <v>986</v>
      </c>
      <c r="F15">
        <v>194</v>
      </c>
      <c r="G15">
        <v>1437</v>
      </c>
      <c r="H15" s="2">
        <f t="shared" si="0"/>
        <v>7.1970802919708028</v>
      </c>
      <c r="I15" s="2">
        <f t="shared" si="1"/>
        <v>7.4072164948453612</v>
      </c>
      <c r="J15" s="3">
        <f>F15-IFERROR(VLOOKUP($A15,'0702'!$A$1:'0702'!G$79,6,FALSE),IFERROR(VLOOKUP($C15,'0702'!$C$1:'0702'!G$79,4,FALSE),F15-D15))</f>
        <v>14</v>
      </c>
      <c r="K15" s="5">
        <f>G15-IFERROR(VLOOKUP($A15,'0702'!$A$1:'0702'!H$79,7,FALSE),IFERROR(VLOOKUP($C15,'0702'!$C$1:'0702'!H$79,5,FALSE),G15-E15))</f>
        <v>69</v>
      </c>
      <c r="L15" s="2">
        <f t="shared" si="2"/>
        <v>4.9285714285714288</v>
      </c>
      <c r="M15" s="4"/>
    </row>
    <row r="16" spans="1:14" x14ac:dyDescent="0.25">
      <c r="A16" t="s">
        <v>22</v>
      </c>
      <c r="B16" t="s">
        <v>11</v>
      </c>
      <c r="C16" s="1">
        <v>46197</v>
      </c>
      <c r="D16">
        <v>49</v>
      </c>
      <c r="E16">
        <v>296</v>
      </c>
      <c r="F16">
        <v>122</v>
      </c>
      <c r="G16">
        <v>650</v>
      </c>
      <c r="H16" s="2">
        <f t="shared" si="0"/>
        <v>6.0408163265306118</v>
      </c>
      <c r="I16" s="2">
        <f t="shared" si="1"/>
        <v>5.3278688524590168</v>
      </c>
      <c r="J16" s="3">
        <f>F16-IFERROR(VLOOKUP($A16,'0702'!$A$1:'0702'!G$79,6,FALSE),IFERROR(VLOOKUP($C16,'0702'!$C$1:'0702'!G$79,4,FALSE),F16-D16))</f>
        <v>2</v>
      </c>
      <c r="K16" s="5">
        <f>G16-IFERROR(VLOOKUP($A16,'0702'!$A$1:'0702'!H$79,7,FALSE),IFERROR(VLOOKUP($C16,'0702'!$C$1:'0702'!H$79,5,FALSE),G16-E16))</f>
        <v>6</v>
      </c>
      <c r="L16" s="2">
        <f t="shared" si="2"/>
        <v>3</v>
      </c>
      <c r="M16" s="4" t="s">
        <v>23</v>
      </c>
      <c r="N16" t="s">
        <v>77</v>
      </c>
    </row>
    <row r="17" spans="1:15" x14ac:dyDescent="0.25">
      <c r="A17" t="s">
        <v>24</v>
      </c>
      <c r="B17" t="s">
        <v>13</v>
      </c>
      <c r="C17" s="1">
        <v>46196</v>
      </c>
      <c r="D17">
        <v>122</v>
      </c>
      <c r="E17">
        <v>20</v>
      </c>
      <c r="F17">
        <v>917</v>
      </c>
      <c r="G17">
        <v>281</v>
      </c>
      <c r="H17" s="2">
        <f t="shared" si="0"/>
        <v>0.16393442622950818</v>
      </c>
      <c r="I17" s="2">
        <f t="shared" si="1"/>
        <v>0.30643402399127589</v>
      </c>
      <c r="J17" s="3">
        <f>F17-IFERROR(VLOOKUP($A17,'0702'!$A$1:'0702'!G$79,6,FALSE),IFERROR(VLOOKUP($C17,'0702'!$C$1:'0702'!G$79,4,FALSE),F17-D17))</f>
        <v>4</v>
      </c>
      <c r="K17" s="5">
        <f>G17-IFERROR(VLOOKUP($A17,'0702'!$A$1:'0702'!H$79,7,FALSE),IFERROR(VLOOKUP($C17,'0702'!$C$1:'0702'!H$79,5,FALSE),G17-E17))</f>
        <v>0</v>
      </c>
      <c r="L17" s="2">
        <f t="shared" si="2"/>
        <v>0</v>
      </c>
      <c r="M17" s="4"/>
    </row>
    <row r="18" spans="1:15" x14ac:dyDescent="0.25">
      <c r="A18" t="s">
        <v>25</v>
      </c>
      <c r="B18" t="s">
        <v>11</v>
      </c>
      <c r="C18" s="1">
        <v>46196</v>
      </c>
      <c r="D18">
        <v>65</v>
      </c>
      <c r="E18">
        <v>310</v>
      </c>
      <c r="F18">
        <v>188</v>
      </c>
      <c r="G18">
        <v>1296</v>
      </c>
      <c r="H18" s="2">
        <f t="shared" si="0"/>
        <v>4.7692307692307692</v>
      </c>
      <c r="I18" s="2">
        <f t="shared" si="1"/>
        <v>6.8936170212765955</v>
      </c>
      <c r="J18" s="3">
        <f>F18-IFERROR(VLOOKUP($A18,'0702'!$A$1:'0702'!G$79,6,FALSE),IFERROR(VLOOKUP($C18,'0702'!$C$1:'0702'!G$79,4,FALSE),F18-D18))</f>
        <v>13</v>
      </c>
      <c r="K18" s="5">
        <f>G18-IFERROR(VLOOKUP($A18,'0702'!$A$1:'0702'!H$79,7,FALSE),IFERROR(VLOOKUP($C18,'0702'!$C$1:'0702'!H$79,5,FALSE),G18-E18))</f>
        <v>138</v>
      </c>
      <c r="L18" s="2">
        <f t="shared" si="2"/>
        <v>10.615384615384615</v>
      </c>
      <c r="M18" s="4" t="s">
        <v>78</v>
      </c>
    </row>
    <row r="19" spans="1:15" x14ac:dyDescent="0.25">
      <c r="A19" t="s">
        <v>26</v>
      </c>
      <c r="B19" t="s">
        <v>11</v>
      </c>
      <c r="C19" s="1">
        <v>46195</v>
      </c>
      <c r="D19">
        <v>59</v>
      </c>
      <c r="E19">
        <v>329</v>
      </c>
      <c r="F19">
        <v>148</v>
      </c>
      <c r="G19">
        <v>730</v>
      </c>
      <c r="H19" s="2">
        <f t="shared" si="0"/>
        <v>5.5762711864406782</v>
      </c>
      <c r="I19" s="2">
        <f t="shared" si="1"/>
        <v>4.9324324324324325</v>
      </c>
      <c r="J19" s="3">
        <f>F19-IFERROR(VLOOKUP($A19,'0702'!$A$1:'0702'!G$79,6,FALSE),IFERROR(VLOOKUP($C19,'0702'!$C$1:'0702'!G$79,4,FALSE),F19-D19))</f>
        <v>4</v>
      </c>
      <c r="K19" s="5">
        <f>G19-IFERROR(VLOOKUP($A19,'0702'!$A$1:'0702'!H$79,7,FALSE),IFERROR(VLOOKUP($C19,'0702'!$C$1:'0702'!H$79,5,FALSE),G19-E19))</f>
        <v>23</v>
      </c>
      <c r="L19" s="2">
        <f t="shared" si="2"/>
        <v>5.75</v>
      </c>
      <c r="M19" s="4" t="s">
        <v>27</v>
      </c>
      <c r="N19" t="s">
        <v>84</v>
      </c>
    </row>
    <row r="20" spans="1:15" x14ac:dyDescent="0.25">
      <c r="A20" t="s">
        <v>28</v>
      </c>
      <c r="B20" t="s">
        <v>11</v>
      </c>
      <c r="C20" s="1">
        <v>46194</v>
      </c>
      <c r="D20">
        <v>26</v>
      </c>
      <c r="E20">
        <v>267</v>
      </c>
      <c r="F20">
        <v>154</v>
      </c>
      <c r="G20">
        <v>1024</v>
      </c>
      <c r="H20" s="2">
        <f t="shared" si="0"/>
        <v>10.26923076923077</v>
      </c>
      <c r="I20" s="2">
        <f t="shared" si="1"/>
        <v>6.6493506493506498</v>
      </c>
      <c r="J20" s="3">
        <f>F20-IFERROR(VLOOKUP($A20,'0702'!$A$1:'0702'!G$79,6,FALSE),IFERROR(VLOOKUP($C20,'0702'!$C$1:'0702'!G$79,4,FALSE),F20-D20))</f>
        <v>3</v>
      </c>
      <c r="K20" s="5">
        <f>G20-IFERROR(VLOOKUP($A20,'0702'!$A$1:'0702'!H$79,7,FALSE),IFERROR(VLOOKUP($C20,'0702'!$C$1:'0702'!H$79,5,FALSE),G20-E20))</f>
        <v>0</v>
      </c>
      <c r="L20" s="2">
        <f t="shared" si="2"/>
        <v>0</v>
      </c>
      <c r="M20" s="4" t="s">
        <v>29</v>
      </c>
      <c r="N20" t="s">
        <v>30</v>
      </c>
    </row>
    <row r="21" spans="1:15" x14ac:dyDescent="0.25">
      <c r="A21" t="s">
        <v>31</v>
      </c>
      <c r="B21" t="s">
        <v>32</v>
      </c>
      <c r="C21" s="1">
        <v>46193</v>
      </c>
      <c r="D21">
        <v>18</v>
      </c>
      <c r="E21">
        <v>10</v>
      </c>
      <c r="F21">
        <v>144</v>
      </c>
      <c r="G21">
        <v>114</v>
      </c>
      <c r="H21" s="2">
        <f t="shared" si="0"/>
        <v>0.55555555555555558</v>
      </c>
      <c r="I21" s="2">
        <f t="shared" si="1"/>
        <v>0.79166666666666663</v>
      </c>
      <c r="J21" s="3">
        <f>F21-IFERROR(VLOOKUP($A21,'0702'!$A$1:'0702'!G$79,6,FALSE),IFERROR(VLOOKUP($C21,'0702'!$C$1:'0702'!G$79,4,FALSE),F21-D21))</f>
        <v>1</v>
      </c>
      <c r="K21" s="5">
        <f>G21-IFERROR(VLOOKUP($A21,'0702'!$A$1:'0702'!H$79,7,FALSE),IFERROR(VLOOKUP($C21,'0702'!$C$1:'0702'!H$79,5,FALSE),G21-E21))</f>
        <v>0</v>
      </c>
      <c r="L21" s="2">
        <f t="shared" si="2"/>
        <v>0</v>
      </c>
      <c r="M21" s="4"/>
    </row>
    <row r="22" spans="1:15" x14ac:dyDescent="0.25">
      <c r="A22" t="s">
        <v>33</v>
      </c>
      <c r="B22" t="s">
        <v>11</v>
      </c>
      <c r="C22" s="1">
        <v>46193</v>
      </c>
      <c r="D22">
        <v>46</v>
      </c>
      <c r="E22">
        <v>401</v>
      </c>
      <c r="F22">
        <v>149</v>
      </c>
      <c r="G22">
        <v>1617</v>
      </c>
      <c r="H22" s="2">
        <f t="shared" si="0"/>
        <v>8.7173913043478262</v>
      </c>
      <c r="I22" s="2">
        <f t="shared" si="1"/>
        <v>10.85234899328859</v>
      </c>
      <c r="J22" s="3">
        <f>F22-IFERROR(VLOOKUP($A22,'0702'!$A$1:'0702'!G$79,6,FALSE),IFERROR(VLOOKUP($C22,'0702'!$C$1:'0702'!G$79,4,FALSE),F22-D22))</f>
        <v>0</v>
      </c>
      <c r="K22" s="5">
        <f>G22-IFERROR(VLOOKUP($A22,'0702'!$A$1:'0702'!H$79,7,FALSE),IFERROR(VLOOKUP($C22,'0702'!$C$1:'0702'!H$79,5,FALSE),G22-E22))</f>
        <v>0</v>
      </c>
      <c r="L22" s="2">
        <f t="shared" si="2"/>
        <v>0</v>
      </c>
      <c r="M22" s="4" t="s">
        <v>34</v>
      </c>
      <c r="N22" t="s">
        <v>35</v>
      </c>
      <c r="O22" t="s">
        <v>85</v>
      </c>
    </row>
    <row r="23" spans="1:15" x14ac:dyDescent="0.25">
      <c r="A23" t="s">
        <v>36</v>
      </c>
      <c r="B23" t="s">
        <v>11</v>
      </c>
      <c r="C23" s="1">
        <v>46192</v>
      </c>
      <c r="D23">
        <v>245</v>
      </c>
      <c r="E23">
        <v>95</v>
      </c>
      <c r="F23">
        <v>2007</v>
      </c>
      <c r="G23">
        <v>1204</v>
      </c>
      <c r="H23" s="2">
        <f t="shared" si="0"/>
        <v>0.38775510204081631</v>
      </c>
      <c r="I23" s="2">
        <f t="shared" si="1"/>
        <v>0.59990034877927256</v>
      </c>
      <c r="J23" s="3">
        <f>F23-IFERROR(VLOOKUP($A23,'0702'!$A$1:'0702'!G$79,6,FALSE),IFERROR(VLOOKUP($C23,'0702'!$C$1:'0702'!G$79,4,FALSE),F23-D23))</f>
        <v>14</v>
      </c>
      <c r="K23" s="5">
        <f>G23-IFERROR(VLOOKUP($A23,'0702'!$A$1:'0702'!H$79,7,FALSE),IFERROR(VLOOKUP($C23,'0702'!$C$1:'0702'!H$79,5,FALSE),G23-E23))</f>
        <v>0</v>
      </c>
      <c r="L23" s="2">
        <f t="shared" si="2"/>
        <v>0</v>
      </c>
      <c r="M23" s="4"/>
    </row>
    <row r="24" spans="1:15" x14ac:dyDescent="0.25">
      <c r="A24" t="s">
        <v>37</v>
      </c>
      <c r="B24" t="s">
        <v>11</v>
      </c>
      <c r="C24" s="1">
        <v>46191</v>
      </c>
      <c r="D24">
        <v>99</v>
      </c>
      <c r="E24">
        <v>7</v>
      </c>
      <c r="F24">
        <v>382</v>
      </c>
      <c r="G24">
        <v>218</v>
      </c>
      <c r="H24" s="2">
        <f t="shared" si="0"/>
        <v>7.0707070707070704E-2</v>
      </c>
      <c r="I24" s="2">
        <f t="shared" si="1"/>
        <v>0.5706806282722513</v>
      </c>
      <c r="J24" s="3">
        <f>F24-IFERROR(VLOOKUP($A24,'0702'!$A$1:'0702'!G$79,6,FALSE),IFERROR(VLOOKUP($C24,'0702'!$C$1:'0702'!G$79,4,FALSE),F24-D24))</f>
        <v>4</v>
      </c>
      <c r="K24" s="5">
        <f>G24-IFERROR(VLOOKUP($A24,'0702'!$A$1:'0702'!H$79,7,FALSE),IFERROR(VLOOKUP($C24,'0702'!$C$1:'0702'!H$79,5,FALSE),G24-E24))</f>
        <v>0</v>
      </c>
      <c r="L24" s="2">
        <f t="shared" si="2"/>
        <v>0</v>
      </c>
      <c r="M24" s="4"/>
    </row>
    <row r="25" spans="1:15" x14ac:dyDescent="0.25">
      <c r="A25" t="s">
        <v>38</v>
      </c>
      <c r="B25" t="s">
        <v>11</v>
      </c>
      <c r="C25" s="1">
        <v>46190</v>
      </c>
      <c r="D25">
        <v>36</v>
      </c>
      <c r="E25">
        <v>2</v>
      </c>
      <c r="F25">
        <v>697</v>
      </c>
      <c r="G25">
        <v>7</v>
      </c>
      <c r="H25" s="2">
        <f t="shared" si="0"/>
        <v>5.5555555555555552E-2</v>
      </c>
      <c r="I25" s="2">
        <f t="shared" si="1"/>
        <v>1.0043041606886656E-2</v>
      </c>
      <c r="J25" s="3">
        <f>F25-IFERROR(VLOOKUP($A25,'0702'!$A$1:'0702'!G$79,6,FALSE),IFERROR(VLOOKUP($C25,'0702'!$C$1:'0702'!G$79,4,FALSE),F25-D25))</f>
        <v>3</v>
      </c>
      <c r="K25" s="5">
        <f>G25-IFERROR(VLOOKUP($A25,'0702'!$A$1:'0702'!H$79,7,FALSE),IFERROR(VLOOKUP($C25,'0702'!$C$1:'0702'!H$79,5,FALSE),G25-E25))</f>
        <v>1</v>
      </c>
      <c r="L25" s="2">
        <f t="shared" si="2"/>
        <v>0.33333333333333331</v>
      </c>
      <c r="M25" s="4"/>
    </row>
    <row r="26" spans="1:15" x14ac:dyDescent="0.25">
      <c r="A26" t="s">
        <v>39</v>
      </c>
      <c r="B26" t="s">
        <v>11</v>
      </c>
      <c r="C26" s="1">
        <v>46189</v>
      </c>
      <c r="D26">
        <v>18</v>
      </c>
      <c r="E26">
        <v>76</v>
      </c>
      <c r="F26">
        <v>148</v>
      </c>
      <c r="G26">
        <v>941</v>
      </c>
      <c r="H26" s="2">
        <f t="shared" si="0"/>
        <v>4.2222222222222223</v>
      </c>
      <c r="I26" s="2">
        <f t="shared" si="1"/>
        <v>6.3581081081081079</v>
      </c>
      <c r="J26" s="3">
        <f>F26-IFERROR(VLOOKUP($A26,'0702'!$A$1:'0702'!G$79,6,FALSE),IFERROR(VLOOKUP($C26,'0702'!$C$1:'0702'!G$79,4,FALSE),F26-D26))</f>
        <v>1</v>
      </c>
      <c r="K26" s="5">
        <f>G26-IFERROR(VLOOKUP($A26,'0702'!$A$1:'0702'!H$79,7,FALSE),IFERROR(VLOOKUP($C26,'0702'!$C$1:'0702'!H$79,5,FALSE),G26-E26))</f>
        <v>0</v>
      </c>
      <c r="L26" s="2">
        <f t="shared" si="2"/>
        <v>0</v>
      </c>
      <c r="M26" s="4" t="s">
        <v>40</v>
      </c>
      <c r="N26" t="s">
        <v>41</v>
      </c>
      <c r="O26" t="s">
        <v>42</v>
      </c>
    </row>
    <row r="27" spans="1:15" x14ac:dyDescent="0.25">
      <c r="A27" t="s">
        <v>86</v>
      </c>
      <c r="B27" t="s">
        <v>11</v>
      </c>
      <c r="C27" s="1">
        <v>46188</v>
      </c>
      <c r="D27">
        <v>24</v>
      </c>
      <c r="E27">
        <v>7</v>
      </c>
      <c r="F27">
        <v>59</v>
      </c>
      <c r="G27">
        <v>73</v>
      </c>
      <c r="H27" s="2">
        <f t="shared" si="0"/>
        <v>0.29166666666666669</v>
      </c>
      <c r="I27" s="2">
        <f t="shared" si="1"/>
        <v>1.2372881355932204</v>
      </c>
      <c r="J27" s="3">
        <f>F27-IFERROR(VLOOKUP($A27,'0702'!$A$1:'0702'!G$79,6,FALSE),IFERROR(VLOOKUP($C27,'0702'!$C$1:'0702'!G$79,4,FALSE),F27-D27))</f>
        <v>24</v>
      </c>
      <c r="K27" s="5">
        <f>G27-IFERROR(VLOOKUP($A27,'0702'!$A$1:'0702'!H$79,7,FALSE),IFERROR(VLOOKUP($C27,'0702'!$C$1:'0702'!H$79,5,FALSE),G27-E27))</f>
        <v>7</v>
      </c>
      <c r="L27" s="2">
        <f t="shared" si="2"/>
        <v>0.29166666666666669</v>
      </c>
      <c r="M27" s="4"/>
    </row>
    <row r="28" spans="1:15" x14ac:dyDescent="0.25">
      <c r="A28" t="s">
        <v>43</v>
      </c>
      <c r="B28" t="s">
        <v>11</v>
      </c>
      <c r="C28" s="1">
        <v>46187</v>
      </c>
      <c r="D28">
        <v>248</v>
      </c>
      <c r="E28">
        <v>107</v>
      </c>
      <c r="F28">
        <v>11080</v>
      </c>
      <c r="G28">
        <v>809</v>
      </c>
      <c r="H28" s="2">
        <f t="shared" si="0"/>
        <v>0.43145161290322581</v>
      </c>
      <c r="I28" s="2">
        <f t="shared" si="1"/>
        <v>7.3014440433212993E-2</v>
      </c>
      <c r="J28" s="3">
        <f>F28-IFERROR(VLOOKUP($A28,'0702'!$A$1:'0702'!G$79,6,FALSE),IFERROR(VLOOKUP($C28,'0702'!$C$1:'0702'!G$79,4,FALSE),F28-D28))</f>
        <v>14</v>
      </c>
      <c r="K28" s="5">
        <f>G28-IFERROR(VLOOKUP($A28,'0702'!$A$1:'0702'!H$79,7,FALSE),IFERROR(VLOOKUP($C28,'0702'!$C$1:'0702'!H$79,5,FALSE),G28-E28))</f>
        <v>0</v>
      </c>
      <c r="L28" s="2">
        <f t="shared" si="2"/>
        <v>0</v>
      </c>
      <c r="M28" s="4"/>
    </row>
    <row r="29" spans="1:15" x14ac:dyDescent="0.25">
      <c r="A29" t="s">
        <v>47</v>
      </c>
      <c r="B29" t="s">
        <v>11</v>
      </c>
      <c r="C29" s="1">
        <v>46182</v>
      </c>
      <c r="D29">
        <v>3</v>
      </c>
      <c r="E29">
        <v>22</v>
      </c>
      <c r="F29">
        <v>122</v>
      </c>
      <c r="G29">
        <v>284</v>
      </c>
      <c r="H29" s="2">
        <f t="shared" si="0"/>
        <v>7.333333333333333</v>
      </c>
      <c r="I29" s="2">
        <f t="shared" si="1"/>
        <v>2.3278688524590163</v>
      </c>
      <c r="J29" s="3">
        <f>F29-IFERROR(VLOOKUP($A29,'0702'!$A$1:'0702'!G$79,6,FALSE),IFERROR(VLOOKUP($C29,'0702'!$C$1:'0702'!G$79,4,FALSE),F29-D29))</f>
        <v>0</v>
      </c>
      <c r="K29" s="5">
        <f>G29-IFERROR(VLOOKUP($A29,'0702'!$A$1:'0702'!H$79,7,FALSE),IFERROR(VLOOKUP($C29,'0702'!$C$1:'0702'!H$79,5,FALSE),G29-E29))</f>
        <v>0</v>
      </c>
      <c r="L29" s="2">
        <f t="shared" si="2"/>
        <v>0</v>
      </c>
      <c r="M29" s="4"/>
    </row>
    <row r="30" spans="1:15" x14ac:dyDescent="0.25">
      <c r="A30" t="s">
        <v>48</v>
      </c>
      <c r="B30" t="s">
        <v>11</v>
      </c>
      <c r="C30" s="1">
        <v>46177</v>
      </c>
      <c r="D30">
        <v>26</v>
      </c>
      <c r="E30">
        <v>19</v>
      </c>
      <c r="F30">
        <v>344</v>
      </c>
      <c r="G30">
        <v>665</v>
      </c>
      <c r="H30" s="2">
        <f t="shared" si="0"/>
        <v>0.73076923076923073</v>
      </c>
      <c r="I30" s="2">
        <f t="shared" si="1"/>
        <v>1.933139534883721</v>
      </c>
      <c r="J30" s="3">
        <f>F30-IFERROR(VLOOKUP($A30,'0702'!$A$1:'0702'!G$79,6,FALSE),IFERROR(VLOOKUP($C30,'0702'!$C$1:'0702'!G$79,4,FALSE),F30-D30))</f>
        <v>4</v>
      </c>
      <c r="K30" s="5">
        <f>G30-IFERROR(VLOOKUP($A30,'0702'!$A$1:'0702'!H$79,7,FALSE),IFERROR(VLOOKUP($C30,'0702'!$C$1:'0702'!H$79,5,FALSE),G30-E30))</f>
        <v>0</v>
      </c>
      <c r="L30" s="2">
        <f t="shared" si="2"/>
        <v>0</v>
      </c>
      <c r="M30" s="4"/>
    </row>
    <row r="31" spans="1:15" x14ac:dyDescent="0.25">
      <c r="A31" t="s">
        <v>50</v>
      </c>
      <c r="B31" t="s">
        <v>11</v>
      </c>
      <c r="C31" s="1">
        <v>46172</v>
      </c>
      <c r="D31">
        <v>3</v>
      </c>
      <c r="E31">
        <v>7</v>
      </c>
      <c r="F31">
        <v>184</v>
      </c>
      <c r="G31">
        <v>144</v>
      </c>
      <c r="H31" s="2">
        <f t="shared" si="0"/>
        <v>2.3333333333333335</v>
      </c>
      <c r="I31" s="2">
        <f t="shared" si="1"/>
        <v>0.78260869565217395</v>
      </c>
      <c r="J31" s="3">
        <f>F31-IFERROR(VLOOKUP($A31,'0702'!$A$1:'0702'!G$79,6,FALSE),IFERROR(VLOOKUP($C31,'0702'!$C$1:'0702'!G$79,4,FALSE),F31-D31))</f>
        <v>0</v>
      </c>
      <c r="K31" s="5">
        <f>G31-IFERROR(VLOOKUP($A31,'0702'!$A$1:'0702'!H$79,7,FALSE),IFERROR(VLOOKUP($C31,'0702'!$C$1:'0702'!H$79,5,FALSE),G31-E31))</f>
        <v>0</v>
      </c>
      <c r="L31" s="2">
        <f t="shared" si="2"/>
        <v>0</v>
      </c>
      <c r="M31" s="4"/>
      <c r="N31" s="4"/>
    </row>
    <row r="32" spans="1:15" x14ac:dyDescent="0.25">
      <c r="A32" t="s">
        <v>51</v>
      </c>
      <c r="B32" t="s">
        <v>11</v>
      </c>
      <c r="C32" s="1">
        <v>46168</v>
      </c>
      <c r="D32">
        <v>3</v>
      </c>
      <c r="E32">
        <v>24</v>
      </c>
      <c r="F32">
        <v>127</v>
      </c>
      <c r="G32">
        <v>191</v>
      </c>
      <c r="H32" s="2">
        <f t="shared" si="0"/>
        <v>8</v>
      </c>
      <c r="I32" s="2">
        <f t="shared" si="1"/>
        <v>1.5039370078740157</v>
      </c>
      <c r="J32" s="3">
        <f>F32-IFERROR(VLOOKUP($A32,'0702'!$A$1:'0702'!G$79,6,FALSE),IFERROR(VLOOKUP($C32,'0702'!$C$1:'0702'!G$79,4,FALSE),F32-D32))</f>
        <v>0</v>
      </c>
      <c r="K32" s="5">
        <f>G32-IFERROR(VLOOKUP($A32,'0702'!$A$1:'0702'!H$79,7,FALSE),IFERROR(VLOOKUP($C32,'0702'!$C$1:'0702'!H$79,5,FALSE),G32-E32))</f>
        <v>0</v>
      </c>
      <c r="L32" s="2">
        <f t="shared" si="2"/>
        <v>0</v>
      </c>
      <c r="M32" s="4"/>
    </row>
    <row r="33" spans="1:13" x14ac:dyDescent="0.25">
      <c r="A33" t="s">
        <v>52</v>
      </c>
      <c r="B33" t="s">
        <v>11</v>
      </c>
      <c r="C33" s="1">
        <v>46164</v>
      </c>
      <c r="D33">
        <v>38</v>
      </c>
      <c r="E33">
        <v>12</v>
      </c>
      <c r="F33">
        <v>589</v>
      </c>
      <c r="G33">
        <v>240</v>
      </c>
      <c r="H33" s="2">
        <f t="shared" si="0"/>
        <v>0.31578947368421051</v>
      </c>
      <c r="I33" s="2">
        <f t="shared" si="1"/>
        <v>0.40747028862478779</v>
      </c>
      <c r="J33" s="3">
        <f>F33-IFERROR(VLOOKUP($A33,'0702'!$A$1:'0702'!G$79,6,FALSE),IFERROR(VLOOKUP($C33,'0702'!$C$1:'0702'!G$79,4,FALSE),F33-D33))</f>
        <v>3</v>
      </c>
      <c r="K33" s="5">
        <f>G33-IFERROR(VLOOKUP($A33,'0702'!$A$1:'0702'!H$79,7,FALSE),IFERROR(VLOOKUP($C33,'0702'!$C$1:'0702'!H$79,5,FALSE),G33-E33))</f>
        <v>0</v>
      </c>
      <c r="L33" s="2">
        <f t="shared" si="2"/>
        <v>0</v>
      </c>
      <c r="M33" s="4"/>
    </row>
    <row r="34" spans="1:13" x14ac:dyDescent="0.25">
      <c r="A34" t="s">
        <v>79</v>
      </c>
      <c r="B34" t="s">
        <v>11</v>
      </c>
      <c r="C34" s="1">
        <v>46153</v>
      </c>
      <c r="D34">
        <v>6</v>
      </c>
      <c r="E34">
        <v>5</v>
      </c>
      <c r="F34">
        <v>134</v>
      </c>
      <c r="G34">
        <v>98</v>
      </c>
      <c r="H34" s="2">
        <f t="shared" si="0"/>
        <v>0.83333333333333337</v>
      </c>
      <c r="I34" s="2">
        <f t="shared" si="1"/>
        <v>0.73134328358208955</v>
      </c>
      <c r="J34" s="3">
        <f>F34-IFERROR(VLOOKUP($A34,'0702'!$A$1:'0702'!G$79,6,FALSE),IFERROR(VLOOKUP($C34,'0702'!$C$1:'0702'!G$79,4,FALSE),F34-D34))</f>
        <v>4</v>
      </c>
      <c r="K34" s="5">
        <f>G34-IFERROR(VLOOKUP($A34,'0702'!$A$1:'0702'!H$79,7,FALSE),IFERROR(VLOOKUP($C34,'0702'!$C$1:'0702'!H$79,5,FALSE),G34-E34))</f>
        <v>0</v>
      </c>
      <c r="L34" s="2">
        <f t="shared" si="2"/>
        <v>0</v>
      </c>
      <c r="M34" s="4"/>
    </row>
    <row r="35" spans="1:13" x14ac:dyDescent="0.25">
      <c r="A35" t="s">
        <v>55</v>
      </c>
      <c r="B35" t="s">
        <v>11</v>
      </c>
      <c r="C35" s="1">
        <v>46129</v>
      </c>
      <c r="D35">
        <v>13</v>
      </c>
      <c r="E35">
        <v>12</v>
      </c>
      <c r="F35">
        <v>403</v>
      </c>
      <c r="G35">
        <v>129</v>
      </c>
      <c r="H35" s="2">
        <f t="shared" si="0"/>
        <v>0.92307692307692313</v>
      </c>
      <c r="I35" s="2">
        <f t="shared" si="1"/>
        <v>0.32009925558312657</v>
      </c>
      <c r="J35" s="3">
        <f>F35-IFERROR(VLOOKUP($A35,'0702'!$A$1:'0702'!G$79,6,FALSE),IFERROR(VLOOKUP($C35,'0702'!$C$1:'0702'!G$79,4,FALSE),F35-D35))</f>
        <v>3</v>
      </c>
      <c r="K35" s="5">
        <f>G35-IFERROR(VLOOKUP($A35,'0702'!$A$1:'0702'!H$79,7,FALSE),IFERROR(VLOOKUP($C35,'0702'!$C$1:'0702'!H$79,5,FALSE),G35-E35))</f>
        <v>0</v>
      </c>
      <c r="L35" s="2">
        <f t="shared" si="2"/>
        <v>0</v>
      </c>
      <c r="M35" s="4"/>
    </row>
    <row r="36" spans="1:13" x14ac:dyDescent="0.25">
      <c r="A36" t="s">
        <v>87</v>
      </c>
      <c r="B36" t="s">
        <v>11</v>
      </c>
      <c r="C36" s="1">
        <v>46103</v>
      </c>
      <c r="D36">
        <v>5</v>
      </c>
      <c r="E36">
        <v>6</v>
      </c>
      <c r="F36">
        <v>192</v>
      </c>
      <c r="G36">
        <v>115</v>
      </c>
      <c r="H36" s="2">
        <f t="shared" si="0"/>
        <v>1.2</v>
      </c>
      <c r="I36" s="2">
        <f t="shared" si="1"/>
        <v>0.59895833333333337</v>
      </c>
      <c r="J36" s="3">
        <f>F36-IFERROR(VLOOKUP($A36,'0702'!$A$1:'0702'!G$79,6,FALSE),IFERROR(VLOOKUP($C36,'0702'!$C$1:'0702'!G$79,4,FALSE),F36-D36))</f>
        <v>5</v>
      </c>
      <c r="K36" s="5">
        <f>G36-IFERROR(VLOOKUP($A36,'0702'!$A$1:'0702'!H$79,7,FALSE),IFERROR(VLOOKUP($C36,'0702'!$C$1:'0702'!H$79,5,FALSE),G36-E36))</f>
        <v>6</v>
      </c>
      <c r="L36" s="2">
        <f t="shared" si="2"/>
        <v>1.2</v>
      </c>
    </row>
    <row r="37" spans="1:13" x14ac:dyDescent="0.25">
      <c r="A37" t="s">
        <v>56</v>
      </c>
      <c r="B37" t="s">
        <v>11</v>
      </c>
      <c r="C37" s="1">
        <v>46063</v>
      </c>
      <c r="D37">
        <v>1</v>
      </c>
      <c r="E37">
        <v>9</v>
      </c>
      <c r="F37">
        <v>248</v>
      </c>
      <c r="G37">
        <v>523</v>
      </c>
      <c r="H37" s="2">
        <f t="shared" si="0"/>
        <v>9</v>
      </c>
      <c r="I37" s="2">
        <f t="shared" si="1"/>
        <v>2.1088709677419355</v>
      </c>
      <c r="J37" s="3">
        <f>F37-IFERROR(VLOOKUP($A37,'0702'!$A$1:'0702'!G$79,6,FALSE),IFERROR(VLOOKUP($C37,'0702'!$C$1:'0702'!G$79,4,FALSE),F37-D37))</f>
        <v>0</v>
      </c>
      <c r="K37" s="5">
        <f>G37-IFERROR(VLOOKUP($A37,'0702'!$A$1:'0702'!H$79,7,FALSE),IFERROR(VLOOKUP($C37,'0702'!$C$1:'0702'!H$79,5,FALSE),G37-E37))</f>
        <v>0</v>
      </c>
      <c r="L37" s="2">
        <f t="shared" si="2"/>
        <v>0</v>
      </c>
    </row>
    <row r="38" spans="1:13" x14ac:dyDescent="0.25">
      <c r="A38" t="s">
        <v>58</v>
      </c>
      <c r="B38" t="s">
        <v>11</v>
      </c>
      <c r="C38" s="1">
        <v>46031</v>
      </c>
      <c r="D38">
        <v>290</v>
      </c>
      <c r="E38">
        <v>18</v>
      </c>
      <c r="F38">
        <v>3038</v>
      </c>
      <c r="G38">
        <v>1465</v>
      </c>
      <c r="H38" s="2">
        <f t="shared" si="0"/>
        <v>6.2068965517241378E-2</v>
      </c>
      <c r="I38" s="2">
        <f t="shared" si="1"/>
        <v>0.48222514812376566</v>
      </c>
      <c r="J38" s="3">
        <f>F38-IFERROR(VLOOKUP($A38,'0702'!$A$1:'0702'!G$79,6,FALSE),IFERROR(VLOOKUP($C38,'0702'!$C$1:'0702'!G$79,4,FALSE),F38-D38))</f>
        <v>11</v>
      </c>
      <c r="K38" s="5">
        <f>G38-IFERROR(VLOOKUP($A38,'0702'!$A$1:'0702'!H$79,7,FALSE),IFERROR(VLOOKUP($C38,'0702'!$C$1:'0702'!H$79,5,FALSE),G38-E38))</f>
        <v>0</v>
      </c>
      <c r="L38" s="2">
        <f t="shared" si="2"/>
        <v>0</v>
      </c>
    </row>
    <row r="39" spans="1:13" x14ac:dyDescent="0.25">
      <c r="A39" t="s">
        <v>59</v>
      </c>
      <c r="B39" t="s">
        <v>11</v>
      </c>
      <c r="C39" s="1">
        <v>46007</v>
      </c>
      <c r="D39">
        <v>27</v>
      </c>
      <c r="E39">
        <v>3</v>
      </c>
      <c r="F39">
        <v>1542</v>
      </c>
      <c r="G39">
        <v>926</v>
      </c>
      <c r="H39" s="2">
        <f t="shared" si="0"/>
        <v>0.1111111111111111</v>
      </c>
      <c r="I39" s="2">
        <f t="shared" si="1"/>
        <v>0.60051880674448765</v>
      </c>
      <c r="J39" s="3">
        <f>F39-IFERROR(VLOOKUP($A39,'0702'!$A$1:'0702'!G$79,6,FALSE),IFERROR(VLOOKUP($C39,'0702'!$C$1:'0702'!G$79,4,FALSE),F39-D39))</f>
        <v>0</v>
      </c>
      <c r="K39" s="5">
        <f>G39-IFERROR(VLOOKUP($A39,'0702'!$A$1:'0702'!H$79,7,FALSE),IFERROR(VLOOKUP($C39,'0702'!$C$1:'0702'!H$79,5,FALSE),G39-E39))</f>
        <v>0</v>
      </c>
      <c r="L39" s="2">
        <f t="shared" si="2"/>
        <v>0</v>
      </c>
    </row>
    <row r="40" spans="1:13" x14ac:dyDescent="0.25">
      <c r="A40" t="s">
        <v>80</v>
      </c>
      <c r="B40" t="s">
        <v>11</v>
      </c>
      <c r="C40" s="1">
        <v>45995</v>
      </c>
      <c r="D40">
        <v>11</v>
      </c>
      <c r="E40">
        <v>7</v>
      </c>
      <c r="F40">
        <v>4483</v>
      </c>
      <c r="G40">
        <v>1457</v>
      </c>
      <c r="H40" s="2">
        <f t="shared" si="0"/>
        <v>0.63636363636363635</v>
      </c>
      <c r="I40" s="2">
        <f t="shared" si="1"/>
        <v>0.32500557662279722</v>
      </c>
      <c r="J40" s="3">
        <f>F40-IFERROR(VLOOKUP($A40,'0702'!$A$1:'0702'!G$79,6,FALSE),IFERROR(VLOOKUP($C40,'0702'!$C$1:'0702'!G$79,4,FALSE),F40-D40))</f>
        <v>0</v>
      </c>
      <c r="K40" s="5">
        <f>G40-IFERROR(VLOOKUP($A40,'0702'!$A$1:'0702'!H$79,7,FALSE),IFERROR(VLOOKUP($C40,'0702'!$C$1:'0702'!H$79,5,FALSE),G40-E40))</f>
        <v>0</v>
      </c>
      <c r="L40" s="2">
        <f t="shared" si="2"/>
        <v>0</v>
      </c>
    </row>
    <row r="41" spans="1:13" x14ac:dyDescent="0.25">
      <c r="A41" t="s">
        <v>88</v>
      </c>
      <c r="B41" t="s">
        <v>11</v>
      </c>
      <c r="C41" s="1">
        <v>45990</v>
      </c>
      <c r="D41">
        <v>18</v>
      </c>
      <c r="E41">
        <v>1</v>
      </c>
      <c r="F41">
        <v>1096</v>
      </c>
      <c r="G41">
        <v>1170</v>
      </c>
      <c r="H41" s="2">
        <f t="shared" si="0"/>
        <v>5.5555555555555552E-2</v>
      </c>
      <c r="I41" s="2">
        <f t="shared" si="1"/>
        <v>1.0675182481751824</v>
      </c>
      <c r="J41" s="3">
        <f>F41-IFERROR(VLOOKUP($A41,'0702'!$A$1:'0702'!G$79,6,FALSE),IFERROR(VLOOKUP($C41,'0702'!$C$1:'0702'!G$79,4,FALSE),F41-D41))</f>
        <v>18</v>
      </c>
      <c r="K41" s="5">
        <f>G41-IFERROR(VLOOKUP($A41,'0702'!$A$1:'0702'!H$79,7,FALSE),IFERROR(VLOOKUP($C41,'0702'!$C$1:'0702'!H$79,5,FALSE),G41-E41))</f>
        <v>1</v>
      </c>
      <c r="L41" s="2">
        <f t="shared" si="2"/>
        <v>5.5555555555555552E-2</v>
      </c>
    </row>
    <row r="42" spans="1:13" x14ac:dyDescent="0.25">
      <c r="A42" t="s">
        <v>61</v>
      </c>
      <c r="B42" t="s">
        <v>11</v>
      </c>
      <c r="C42" s="1">
        <v>45982</v>
      </c>
      <c r="D42">
        <v>33</v>
      </c>
      <c r="E42">
        <v>3</v>
      </c>
      <c r="F42">
        <v>340</v>
      </c>
      <c r="G42">
        <v>940</v>
      </c>
      <c r="H42" s="2">
        <f t="shared" si="0"/>
        <v>9.0909090909090912E-2</v>
      </c>
      <c r="I42" s="2">
        <f t="shared" si="1"/>
        <v>2.7647058823529411</v>
      </c>
      <c r="J42" s="3">
        <f>F42-IFERROR(VLOOKUP($A42,'0702'!$A$1:'0702'!G$79,6,FALSE),IFERROR(VLOOKUP($C42,'0702'!$C$1:'0702'!G$79,4,FALSE),F42-D42))</f>
        <v>0</v>
      </c>
      <c r="K42" s="5">
        <f>G42-IFERROR(VLOOKUP($A42,'0702'!$A$1:'0702'!H$79,7,FALSE),IFERROR(VLOOKUP($C42,'0702'!$C$1:'0702'!H$79,5,FALSE),G42-E42))</f>
        <v>0</v>
      </c>
      <c r="L42" s="2">
        <f t="shared" si="2"/>
        <v>0</v>
      </c>
    </row>
    <row r="43" spans="1:13" x14ac:dyDescent="0.25">
      <c r="A43" t="s">
        <v>62</v>
      </c>
      <c r="B43" t="s">
        <v>11</v>
      </c>
      <c r="C43" s="1">
        <v>45973</v>
      </c>
      <c r="D43">
        <v>15</v>
      </c>
      <c r="E43">
        <v>3</v>
      </c>
      <c r="F43">
        <v>20299</v>
      </c>
      <c r="G43">
        <v>6787</v>
      </c>
      <c r="H43" s="2">
        <f t="shared" si="0"/>
        <v>0.2</v>
      </c>
      <c r="I43" s="2">
        <f t="shared" si="1"/>
        <v>0.3343514458840337</v>
      </c>
      <c r="J43" s="3">
        <f>F43-IFERROR(VLOOKUP($A43,'0702'!$A$1:'0702'!G$79,6,FALSE),IFERROR(VLOOKUP($C43,'0702'!$C$1:'0702'!G$79,4,FALSE),F43-D43))</f>
        <v>0</v>
      </c>
      <c r="K43" s="5">
        <f>G43-IFERROR(VLOOKUP($A43,'0702'!$A$1:'0702'!H$79,7,FALSE),IFERROR(VLOOKUP($C43,'0702'!$C$1:'0702'!H$79,5,FALSE),G43-E43))</f>
        <v>0</v>
      </c>
      <c r="L43" s="2">
        <f t="shared" si="2"/>
        <v>0</v>
      </c>
    </row>
    <row r="44" spans="1:13" x14ac:dyDescent="0.25">
      <c r="A44" t="s">
        <v>64</v>
      </c>
      <c r="B44" t="s">
        <v>11</v>
      </c>
      <c r="C44" s="1">
        <v>45937</v>
      </c>
      <c r="D44">
        <v>20</v>
      </c>
      <c r="E44">
        <v>5</v>
      </c>
      <c r="F44">
        <v>994</v>
      </c>
      <c r="G44">
        <v>654</v>
      </c>
      <c r="H44" s="2">
        <f t="shared" si="0"/>
        <v>0.25</v>
      </c>
      <c r="I44" s="2">
        <f t="shared" si="1"/>
        <v>0.65794768611670018</v>
      </c>
      <c r="J44" s="3">
        <f>F44-IFERROR(VLOOKUP($A44,'0702'!$A$1:'0702'!G$79,6,FALSE),IFERROR(VLOOKUP($C44,'0702'!$C$1:'0702'!G$79,4,FALSE),F44-D44))</f>
        <v>0</v>
      </c>
      <c r="K44" s="5">
        <f>G44-IFERROR(VLOOKUP($A44,'0702'!$A$1:'0702'!H$79,7,FALSE),IFERROR(VLOOKUP($C44,'0702'!$C$1:'0702'!H$79,5,FALSE),G44-E44))</f>
        <v>0</v>
      </c>
      <c r="L44" s="2">
        <f t="shared" si="2"/>
        <v>0</v>
      </c>
    </row>
    <row r="45" spans="1:13" x14ac:dyDescent="0.25">
      <c r="A45" t="s">
        <v>65</v>
      </c>
      <c r="B45" t="s">
        <v>11</v>
      </c>
      <c r="C45" s="1">
        <v>45933</v>
      </c>
      <c r="D45">
        <v>23</v>
      </c>
      <c r="E45">
        <v>1</v>
      </c>
      <c r="F45">
        <v>356</v>
      </c>
      <c r="G45">
        <v>539</v>
      </c>
      <c r="H45" s="2">
        <f t="shared" si="0"/>
        <v>4.3478260869565216E-2</v>
      </c>
      <c r="I45" s="2">
        <f t="shared" si="1"/>
        <v>1.5140449438202248</v>
      </c>
      <c r="J45" s="3">
        <f>F45-IFERROR(VLOOKUP($A45,'0702'!$A$1:'0702'!G$79,6,FALSE),IFERROR(VLOOKUP($C45,'0702'!$C$1:'0702'!G$79,4,FALSE),F45-D45))</f>
        <v>0</v>
      </c>
      <c r="K45" s="5">
        <f>G45-IFERROR(VLOOKUP($A45,'0702'!$A$1:'0702'!H$79,7,FALSE),IFERROR(VLOOKUP($C45,'0702'!$C$1:'0702'!H$79,5,FALSE),G45-E45))</f>
        <v>0</v>
      </c>
      <c r="L45" s="2">
        <f t="shared" si="2"/>
        <v>0</v>
      </c>
    </row>
    <row r="46" spans="1:13" x14ac:dyDescent="0.25">
      <c r="A46" t="s">
        <v>66</v>
      </c>
      <c r="B46" t="s">
        <v>11</v>
      </c>
      <c r="C46" s="1">
        <v>45930</v>
      </c>
      <c r="D46">
        <v>13</v>
      </c>
      <c r="E46">
        <v>2</v>
      </c>
      <c r="F46">
        <v>409</v>
      </c>
      <c r="G46">
        <v>314</v>
      </c>
      <c r="H46" s="2">
        <f t="shared" si="0"/>
        <v>0.15384615384615385</v>
      </c>
      <c r="I46" s="2">
        <f t="shared" si="1"/>
        <v>0.76772616136919314</v>
      </c>
      <c r="J46" s="3">
        <f>F46-IFERROR(VLOOKUP($A46,'0702'!$A$1:'0702'!G$79,6,FALSE),IFERROR(VLOOKUP($C46,'0702'!$C$1:'0702'!G$79,4,FALSE),F46-D46))</f>
        <v>0</v>
      </c>
      <c r="K46" s="5">
        <f>G46-IFERROR(VLOOKUP($A46,'0702'!$A$1:'0702'!H$79,7,FALSE),IFERROR(VLOOKUP($C46,'0702'!$C$1:'0702'!H$79,5,FALSE),G46-E46))</f>
        <v>0</v>
      </c>
      <c r="L46" s="2">
        <f t="shared" si="2"/>
        <v>0</v>
      </c>
    </row>
    <row r="47" spans="1:13" x14ac:dyDescent="0.25">
      <c r="A47" t="s">
        <v>67</v>
      </c>
      <c r="B47" t="s">
        <v>11</v>
      </c>
      <c r="C47" s="1">
        <v>45927</v>
      </c>
      <c r="D47">
        <v>3</v>
      </c>
      <c r="E47">
        <v>1</v>
      </c>
      <c r="F47">
        <v>239</v>
      </c>
      <c r="G47">
        <v>680</v>
      </c>
      <c r="H47" s="2">
        <f t="shared" si="0"/>
        <v>0.33333333333333331</v>
      </c>
      <c r="I47" s="2">
        <f t="shared" si="1"/>
        <v>2.8451882845188283</v>
      </c>
      <c r="J47" s="3">
        <f>F47-IFERROR(VLOOKUP($A47,'0702'!$A$1:'0702'!G$79,6,FALSE),IFERROR(VLOOKUP($C47,'0702'!$C$1:'0702'!G$79,4,FALSE),F47-D47))</f>
        <v>0</v>
      </c>
      <c r="K47" s="5">
        <f>G47-IFERROR(VLOOKUP($A47,'0702'!$A$1:'0702'!H$79,7,FALSE),IFERROR(VLOOKUP($C47,'0702'!$C$1:'0702'!H$79,5,FALSE),G47-E47))</f>
        <v>0</v>
      </c>
      <c r="L47" s="2">
        <f t="shared" si="2"/>
        <v>0</v>
      </c>
    </row>
    <row r="48" spans="1:13" x14ac:dyDescent="0.25">
      <c r="A48" t="s">
        <v>89</v>
      </c>
      <c r="B48" t="s">
        <v>11</v>
      </c>
      <c r="C48" s="1">
        <v>45921</v>
      </c>
      <c r="D48">
        <v>1</v>
      </c>
      <c r="E48">
        <v>1</v>
      </c>
      <c r="F48">
        <v>567</v>
      </c>
      <c r="G48">
        <v>1011</v>
      </c>
      <c r="H48" s="2">
        <f t="shared" si="0"/>
        <v>1</v>
      </c>
      <c r="I48" s="2">
        <f t="shared" si="1"/>
        <v>1.783068783068783</v>
      </c>
      <c r="J48" s="3">
        <f>F48-IFERROR(VLOOKUP($A48,'0702'!$A$1:'0702'!G$79,6,FALSE),IFERROR(VLOOKUP($C48,'0702'!$C$1:'0702'!G$79,4,FALSE),F48-D48))</f>
        <v>1</v>
      </c>
      <c r="K48" s="5">
        <f>G48-IFERROR(VLOOKUP($A48,'0702'!$A$1:'0702'!H$79,7,FALSE),IFERROR(VLOOKUP($C48,'0702'!$C$1:'0702'!H$79,5,FALSE),G48-E48))</f>
        <v>1</v>
      </c>
      <c r="L48" s="2">
        <f t="shared" si="2"/>
        <v>1</v>
      </c>
    </row>
    <row r="49" spans="1:12" x14ac:dyDescent="0.25">
      <c r="A49" t="s">
        <v>68</v>
      </c>
      <c r="B49" t="s">
        <v>11</v>
      </c>
      <c r="C49" s="1">
        <v>45899</v>
      </c>
      <c r="D49">
        <v>4</v>
      </c>
      <c r="E49">
        <v>1</v>
      </c>
      <c r="F49">
        <v>805</v>
      </c>
      <c r="G49">
        <v>538</v>
      </c>
      <c r="H49" s="2">
        <f t="shared" si="0"/>
        <v>0.25</v>
      </c>
      <c r="I49" s="2">
        <f t="shared" si="1"/>
        <v>0.66832298136645962</v>
      </c>
      <c r="J49" s="3">
        <f>F49-IFERROR(VLOOKUP($A49,'0702'!$A$1:'0702'!G$79,6,FALSE),IFERROR(VLOOKUP($C49,'0702'!$C$1:'0702'!G$79,4,FALSE),F49-D49))</f>
        <v>0</v>
      </c>
      <c r="K49" s="5">
        <f>G49-IFERROR(VLOOKUP($A49,'0702'!$A$1:'0702'!H$79,7,FALSE),IFERROR(VLOOKUP($C49,'0702'!$C$1:'0702'!H$79,5,FALSE),G49-E49))</f>
        <v>0</v>
      </c>
      <c r="L49" s="2">
        <f t="shared" si="2"/>
        <v>0</v>
      </c>
    </row>
    <row r="50" spans="1:12" x14ac:dyDescent="0.25">
      <c r="A50" t="s">
        <v>74</v>
      </c>
      <c r="B50" t="s">
        <v>11</v>
      </c>
      <c r="C50" s="1">
        <v>45847</v>
      </c>
      <c r="D50">
        <v>10</v>
      </c>
      <c r="E50">
        <v>2</v>
      </c>
      <c r="F50">
        <v>447</v>
      </c>
      <c r="G50">
        <v>248</v>
      </c>
      <c r="H50" s="2">
        <f t="shared" si="0"/>
        <v>0.2</v>
      </c>
      <c r="I50" s="2">
        <f t="shared" si="1"/>
        <v>0.55480984340044748</v>
      </c>
      <c r="J50" s="3">
        <f>F50-IFERROR(VLOOKUP($A50,'0702'!$A$1:'0702'!G$79,6,FALSE),IFERROR(VLOOKUP($C50,'0702'!$C$1:'0702'!G$79,4,FALSE),F50-D50))</f>
        <v>1</v>
      </c>
      <c r="K50" s="5">
        <f>G50-IFERROR(VLOOKUP($A50,'0702'!$A$1:'0702'!H$79,7,FALSE),IFERROR(VLOOKUP($C50,'0702'!$C$1:'0702'!H$79,5,FALSE),G50-E50))</f>
        <v>0</v>
      </c>
      <c r="L50" s="2">
        <f t="shared" si="2"/>
        <v>0</v>
      </c>
    </row>
    <row r="51" spans="1:12" x14ac:dyDescent="0.25">
      <c r="K51">
        <f>SUM(K2:K50)</f>
        <v>1439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23957-ADCF-4EAF-82AB-40F0A3CB17FA}">
  <dimension ref="A1:O49"/>
  <sheetViews>
    <sheetView workbookViewId="0"/>
  </sheetViews>
  <sheetFormatPr defaultRowHeight="14.4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</row>
    <row r="2" spans="1:15" x14ac:dyDescent="0.25">
      <c r="A2" t="s">
        <v>81</v>
      </c>
      <c r="B2" t="s">
        <v>13</v>
      </c>
      <c r="C2" s="1">
        <v>46205</v>
      </c>
      <c r="D2">
        <v>2182</v>
      </c>
      <c r="E2">
        <v>175</v>
      </c>
      <c r="F2">
        <v>2182</v>
      </c>
      <c r="G2">
        <v>175</v>
      </c>
      <c r="H2">
        <f t="shared" ref="H2:H48" si="0">ROUND(E2/D2,2)</f>
        <v>0.08</v>
      </c>
      <c r="I2">
        <f t="shared" ref="I2:I48" si="1">ROUND(G2/F2,2)</f>
        <v>0.08</v>
      </c>
      <c r="J2">
        <f>F2-IFERROR(VLOOKUP($A2,'0703'!$A$1:G51,6,FALSE),IFERROR(VLOOKUP($C2,'0703'!$C$1:G51,4,FALSE),F2-D2))</f>
        <v>328</v>
      </c>
      <c r="K2">
        <f>G2-IFERROR(VLOOKUP($A2,'0703'!$A$1:H51,7,FALSE),IFERROR(VLOOKUP($C2,'0703'!$C$1:H51,5,FALSE),G2-E2))</f>
        <v>44</v>
      </c>
      <c r="L2">
        <f t="shared" ref="L2:L48" si="2">IFERROR(ROUND(K2/J2,2),)</f>
        <v>0.13</v>
      </c>
    </row>
    <row r="3" spans="1:15" x14ac:dyDescent="0.25">
      <c r="A3" t="s">
        <v>82</v>
      </c>
      <c r="B3" t="s">
        <v>11</v>
      </c>
      <c r="C3" s="1">
        <v>46205</v>
      </c>
      <c r="D3">
        <v>520</v>
      </c>
      <c r="E3">
        <v>991</v>
      </c>
      <c r="F3">
        <v>520</v>
      </c>
      <c r="G3">
        <v>991</v>
      </c>
      <c r="H3">
        <f t="shared" si="0"/>
        <v>1.91</v>
      </c>
      <c r="I3">
        <f t="shared" si="1"/>
        <v>1.91</v>
      </c>
      <c r="J3">
        <f>F3-IFERROR(VLOOKUP($A3,'0703'!$A$1:G52,6,FALSE),IFERROR(VLOOKUP($C3,'0703'!$C$1:G52,4,FALSE),F3-D3))</f>
        <v>318</v>
      </c>
      <c r="K3">
        <f>G3-IFERROR(VLOOKUP($A3,'0703'!$A$1:H52,7,FALSE),IFERROR(VLOOKUP($C3,'0703'!$C$1:H52,5,FALSE),G3-E3))</f>
        <v>258</v>
      </c>
      <c r="L3">
        <f t="shared" si="2"/>
        <v>0.81</v>
      </c>
    </row>
    <row r="4" spans="1:15" x14ac:dyDescent="0.25">
      <c r="A4" t="s">
        <v>75</v>
      </c>
      <c r="B4" t="s">
        <v>13</v>
      </c>
      <c r="C4" s="1">
        <v>46204</v>
      </c>
      <c r="D4">
        <v>532</v>
      </c>
      <c r="E4">
        <v>241</v>
      </c>
      <c r="F4">
        <v>532</v>
      </c>
      <c r="G4">
        <v>241</v>
      </c>
      <c r="H4">
        <f t="shared" si="0"/>
        <v>0.45</v>
      </c>
      <c r="I4">
        <f t="shared" si="1"/>
        <v>0.45</v>
      </c>
      <c r="J4">
        <f>F4-IFERROR(VLOOKUP($A4,'0703'!$A$1:G53,6,FALSE),IFERROR(VLOOKUP($C4,'0703'!$C$1:G53,4,FALSE),F4-D4))</f>
        <v>65</v>
      </c>
      <c r="K4">
        <f>G4-IFERROR(VLOOKUP($A4,'0703'!$A$1:H53,7,FALSE),IFERROR(VLOOKUP($C4,'0703'!$C$1:H53,5,FALSE),G4-E4))</f>
        <v>29</v>
      </c>
      <c r="L4">
        <f t="shared" si="2"/>
        <v>0.45</v>
      </c>
    </row>
    <row r="5" spans="1:15" x14ac:dyDescent="0.25">
      <c r="A5" t="s">
        <v>76</v>
      </c>
      <c r="B5" t="s">
        <v>11</v>
      </c>
      <c r="C5" s="1">
        <v>46204</v>
      </c>
      <c r="D5">
        <v>149</v>
      </c>
      <c r="E5">
        <v>317</v>
      </c>
      <c r="F5">
        <v>149</v>
      </c>
      <c r="G5">
        <v>317</v>
      </c>
      <c r="H5">
        <f t="shared" si="0"/>
        <v>2.13</v>
      </c>
      <c r="I5">
        <f t="shared" si="1"/>
        <v>2.13</v>
      </c>
      <c r="J5">
        <f>F5-IFERROR(VLOOKUP($A5,'0703'!$A$1:G54,6,FALSE),IFERROR(VLOOKUP($C5,'0703'!$C$1:G54,4,FALSE),F5-D5))</f>
        <v>19</v>
      </c>
      <c r="K5">
        <f>G5-IFERROR(VLOOKUP($A5,'0703'!$A$1:H54,7,FALSE),IFERROR(VLOOKUP($C5,'0703'!$C$1:H54,5,FALSE),G5-E5))</f>
        <v>7</v>
      </c>
      <c r="L5">
        <f t="shared" si="2"/>
        <v>0.37</v>
      </c>
    </row>
    <row r="6" spans="1:15" x14ac:dyDescent="0.25">
      <c r="A6" t="s">
        <v>10</v>
      </c>
      <c r="B6" t="s">
        <v>11</v>
      </c>
      <c r="C6" s="1">
        <v>46203</v>
      </c>
      <c r="D6">
        <v>80</v>
      </c>
      <c r="E6">
        <v>655</v>
      </c>
      <c r="F6">
        <v>80</v>
      </c>
      <c r="G6">
        <v>655</v>
      </c>
      <c r="H6">
        <f t="shared" si="0"/>
        <v>8.19</v>
      </c>
      <c r="I6">
        <f t="shared" si="1"/>
        <v>8.19</v>
      </c>
      <c r="J6">
        <f>F6-IFERROR(VLOOKUP($A6,'0703'!$A$1:G55,6,FALSE),IFERROR(VLOOKUP($C6,'0703'!$C$1:G55,4,FALSE),F6-D6))</f>
        <v>5</v>
      </c>
      <c r="K6">
        <f>G6-IFERROR(VLOOKUP($A6,'0703'!$A$1:H55,7,FALSE),IFERROR(VLOOKUP($C6,'0703'!$C$1:H55,5,FALSE),G6-E6))</f>
        <v>17</v>
      </c>
      <c r="L6">
        <f t="shared" si="2"/>
        <v>3.4</v>
      </c>
    </row>
    <row r="7" spans="1:15" x14ac:dyDescent="0.25">
      <c r="A7" t="s">
        <v>12</v>
      </c>
      <c r="B7" t="s">
        <v>13</v>
      </c>
      <c r="C7" s="1">
        <v>46203</v>
      </c>
      <c r="D7">
        <v>826</v>
      </c>
      <c r="E7">
        <v>114</v>
      </c>
      <c r="F7">
        <v>826</v>
      </c>
      <c r="G7">
        <v>114</v>
      </c>
      <c r="H7">
        <f t="shared" si="0"/>
        <v>0.14000000000000001</v>
      </c>
      <c r="I7">
        <f t="shared" si="1"/>
        <v>0.14000000000000001</v>
      </c>
      <c r="J7">
        <f>F7-IFERROR(VLOOKUP($A7,'0703'!$A$1:G56,6,FALSE),IFERROR(VLOOKUP($C7,'0703'!$C$1:G56,4,FALSE),F7-D7))</f>
        <v>148</v>
      </c>
      <c r="K7">
        <f>G7-IFERROR(VLOOKUP($A7,'0703'!$A$1:H56,7,FALSE),IFERROR(VLOOKUP($C7,'0703'!$C$1:H56,5,FALSE),G7-E7))</f>
        <v>0</v>
      </c>
      <c r="L7">
        <f t="shared" si="2"/>
        <v>0</v>
      </c>
    </row>
    <row r="8" spans="1:15" x14ac:dyDescent="0.25">
      <c r="A8" t="s">
        <v>14</v>
      </c>
      <c r="B8" t="s">
        <v>11</v>
      </c>
      <c r="C8" s="1">
        <v>46202</v>
      </c>
      <c r="D8">
        <v>104</v>
      </c>
      <c r="E8">
        <v>918</v>
      </c>
      <c r="F8">
        <v>104</v>
      </c>
      <c r="G8">
        <v>918</v>
      </c>
      <c r="H8">
        <f t="shared" si="0"/>
        <v>8.83</v>
      </c>
      <c r="I8">
        <f t="shared" si="1"/>
        <v>8.83</v>
      </c>
      <c r="J8">
        <f>F8-IFERROR(VLOOKUP($A8,'0703'!$A$1:G57,6,FALSE),IFERROR(VLOOKUP($C8,'0703'!$C$1:G57,4,FALSE),F8-D8))</f>
        <v>8</v>
      </c>
      <c r="K8">
        <f>G8-IFERROR(VLOOKUP($A8,'0703'!$A$1:H57,7,FALSE),IFERROR(VLOOKUP($C8,'0703'!$C$1:H57,5,FALSE),G8-E8))</f>
        <v>51</v>
      </c>
      <c r="L8">
        <f t="shared" si="2"/>
        <v>6.38</v>
      </c>
      <c r="M8" t="s">
        <v>83</v>
      </c>
    </row>
    <row r="9" spans="1:15" x14ac:dyDescent="0.25">
      <c r="A9" t="s">
        <v>15</v>
      </c>
      <c r="B9" t="s">
        <v>13</v>
      </c>
      <c r="C9" s="1">
        <v>46202</v>
      </c>
      <c r="D9">
        <v>502</v>
      </c>
      <c r="E9">
        <v>205</v>
      </c>
      <c r="F9">
        <v>502</v>
      </c>
      <c r="G9">
        <v>205</v>
      </c>
      <c r="H9">
        <f t="shared" si="0"/>
        <v>0.41</v>
      </c>
      <c r="I9">
        <f t="shared" si="1"/>
        <v>0.41</v>
      </c>
      <c r="J9">
        <f>F9-IFERROR(VLOOKUP($A9,'0703'!$A$1:G58,6,FALSE),IFERROR(VLOOKUP($C9,'0703'!$C$1:G58,4,FALSE),F9-D9))</f>
        <v>19</v>
      </c>
      <c r="K9">
        <f>G9-IFERROR(VLOOKUP($A9,'0703'!$A$1:H58,7,FALSE),IFERROR(VLOOKUP($C9,'0703'!$C$1:H58,5,FALSE),G9-E9))</f>
        <v>0</v>
      </c>
      <c r="L9">
        <f t="shared" si="2"/>
        <v>0</v>
      </c>
    </row>
    <row r="10" spans="1:15" x14ac:dyDescent="0.25">
      <c r="A10" t="s">
        <v>16</v>
      </c>
      <c r="B10" t="s">
        <v>13</v>
      </c>
      <c r="C10" s="1">
        <v>46201</v>
      </c>
      <c r="D10">
        <v>426</v>
      </c>
      <c r="E10">
        <v>310</v>
      </c>
      <c r="F10">
        <v>426</v>
      </c>
      <c r="G10">
        <v>310</v>
      </c>
      <c r="H10">
        <f t="shared" si="0"/>
        <v>0.73</v>
      </c>
      <c r="I10">
        <f t="shared" si="1"/>
        <v>0.73</v>
      </c>
      <c r="J10">
        <f>F10-IFERROR(VLOOKUP($A10,'0703'!$A$1:G59,6,FALSE),IFERROR(VLOOKUP($C10,'0703'!$C$1:G59,4,FALSE),F10-D10))</f>
        <v>14</v>
      </c>
      <c r="K10">
        <f>G10-IFERROR(VLOOKUP($A10,'0703'!$A$1:H59,7,FALSE),IFERROR(VLOOKUP($C10,'0703'!$C$1:H59,5,FALSE),G10-E10))</f>
        <v>0</v>
      </c>
      <c r="L10">
        <f t="shared" si="2"/>
        <v>0</v>
      </c>
    </row>
    <row r="11" spans="1:15" x14ac:dyDescent="0.25">
      <c r="A11" t="s">
        <v>17</v>
      </c>
      <c r="B11" t="s">
        <v>11</v>
      </c>
      <c r="C11" s="1">
        <v>46201</v>
      </c>
      <c r="D11">
        <v>323</v>
      </c>
      <c r="E11">
        <v>967</v>
      </c>
      <c r="F11">
        <v>323</v>
      </c>
      <c r="G11">
        <v>967</v>
      </c>
      <c r="H11">
        <f t="shared" si="0"/>
        <v>2.99</v>
      </c>
      <c r="I11">
        <f t="shared" si="1"/>
        <v>2.99</v>
      </c>
      <c r="J11">
        <f>F11-IFERROR(VLOOKUP($A11,'0703'!$A$1:G60,6,FALSE),IFERROR(VLOOKUP($C11,'0703'!$C$1:G60,4,FALSE),F11-D11))</f>
        <v>4</v>
      </c>
      <c r="K11">
        <f>G11-IFERROR(VLOOKUP($A11,'0703'!$A$1:H60,7,FALSE),IFERROR(VLOOKUP($C11,'0703'!$C$1:H60,5,FALSE),G11-E11))</f>
        <v>0</v>
      </c>
      <c r="L11">
        <f t="shared" si="2"/>
        <v>0</v>
      </c>
    </row>
    <row r="12" spans="1:15" x14ac:dyDescent="0.25">
      <c r="A12" t="s">
        <v>18</v>
      </c>
      <c r="B12" t="s">
        <v>11</v>
      </c>
      <c r="C12" s="1">
        <v>46200</v>
      </c>
      <c r="D12">
        <v>159</v>
      </c>
      <c r="E12">
        <v>543</v>
      </c>
      <c r="F12">
        <v>159</v>
      </c>
      <c r="G12">
        <v>543</v>
      </c>
      <c r="H12">
        <f t="shared" si="0"/>
        <v>3.42</v>
      </c>
      <c r="I12">
        <f t="shared" si="1"/>
        <v>3.42</v>
      </c>
      <c r="J12">
        <f>F12-IFERROR(VLOOKUP($A12,'0703'!$A$1:G61,6,FALSE),IFERROR(VLOOKUP($C12,'0703'!$C$1:G61,4,FALSE),F12-D12))</f>
        <v>13</v>
      </c>
      <c r="K12">
        <f>G12-IFERROR(VLOOKUP($A12,'0703'!$A$1:H61,7,FALSE),IFERROR(VLOOKUP($C12,'0703'!$C$1:H61,5,FALSE),G12-E12))</f>
        <v>51</v>
      </c>
      <c r="L12">
        <f t="shared" si="2"/>
        <v>3.92</v>
      </c>
    </row>
    <row r="13" spans="1:15" x14ac:dyDescent="0.25">
      <c r="A13" t="s">
        <v>19</v>
      </c>
      <c r="B13" t="s">
        <v>11</v>
      </c>
      <c r="C13" s="1">
        <v>46199</v>
      </c>
      <c r="D13">
        <v>100</v>
      </c>
      <c r="E13">
        <v>331</v>
      </c>
      <c r="F13">
        <v>120</v>
      </c>
      <c r="G13">
        <v>430</v>
      </c>
      <c r="H13">
        <f t="shared" si="0"/>
        <v>3.31</v>
      </c>
      <c r="I13">
        <f t="shared" si="1"/>
        <v>3.58</v>
      </c>
      <c r="J13">
        <f>F13-IFERROR(VLOOKUP($A13,'0703'!$A$1:G62,6,FALSE),IFERROR(VLOOKUP($C13,'0703'!$C$1:G62,4,FALSE),F13-D13))</f>
        <v>1</v>
      </c>
      <c r="K13">
        <f>G13-IFERROR(VLOOKUP($A13,'0703'!$A$1:H62,7,FALSE),IFERROR(VLOOKUP($C13,'0703'!$C$1:H62,5,FALSE),G13-E13))</f>
        <v>0</v>
      </c>
      <c r="L13">
        <f t="shared" si="2"/>
        <v>0</v>
      </c>
    </row>
    <row r="14" spans="1:15" x14ac:dyDescent="0.25">
      <c r="A14" t="s">
        <v>20</v>
      </c>
      <c r="B14" t="s">
        <v>13</v>
      </c>
      <c r="C14" s="1">
        <v>46199</v>
      </c>
      <c r="D14">
        <v>323</v>
      </c>
      <c r="E14">
        <v>119</v>
      </c>
      <c r="F14">
        <v>601</v>
      </c>
      <c r="G14">
        <v>198</v>
      </c>
      <c r="H14">
        <f t="shared" si="0"/>
        <v>0.37</v>
      </c>
      <c r="I14">
        <f t="shared" si="1"/>
        <v>0.33</v>
      </c>
      <c r="J14">
        <f>F14-IFERROR(VLOOKUP($A14,'0703'!$A$1:G63,6,FALSE),IFERROR(VLOOKUP($C14,'0703'!$C$1:G63,4,FALSE),F14-D14))</f>
        <v>13</v>
      </c>
      <c r="K14">
        <f>G14-IFERROR(VLOOKUP($A14,'0703'!$A$1:H63,7,FALSE),IFERROR(VLOOKUP($C14,'0703'!$C$1:H63,5,FALSE),G14-E14))</f>
        <v>0</v>
      </c>
      <c r="L14">
        <f t="shared" si="2"/>
        <v>0</v>
      </c>
    </row>
    <row r="15" spans="1:15" x14ac:dyDescent="0.25">
      <c r="A15" t="s">
        <v>21</v>
      </c>
      <c r="B15" t="s">
        <v>11</v>
      </c>
      <c r="C15" s="1">
        <v>46198</v>
      </c>
      <c r="D15">
        <v>95</v>
      </c>
      <c r="E15">
        <v>584</v>
      </c>
      <c r="F15">
        <v>208</v>
      </c>
      <c r="G15">
        <v>1437</v>
      </c>
      <c r="H15">
        <f t="shared" si="0"/>
        <v>6.15</v>
      </c>
      <c r="I15">
        <f t="shared" si="1"/>
        <v>6.91</v>
      </c>
      <c r="J15">
        <f>F15-IFERROR(VLOOKUP($A15,'0703'!$A$1:G64,6,FALSE),IFERROR(VLOOKUP($C15,'0703'!$C$1:G64,4,FALSE),F15-D15))</f>
        <v>14</v>
      </c>
      <c r="K15">
        <f>G15-IFERROR(VLOOKUP($A15,'0703'!$A$1:H64,7,FALSE),IFERROR(VLOOKUP($C15,'0703'!$C$1:H64,5,FALSE),G15-E15))</f>
        <v>0</v>
      </c>
      <c r="L15">
        <f t="shared" si="2"/>
        <v>0</v>
      </c>
    </row>
    <row r="16" spans="1:15" x14ac:dyDescent="0.25">
      <c r="A16" t="s">
        <v>22</v>
      </c>
      <c r="B16" t="s">
        <v>11</v>
      </c>
      <c r="C16" s="1">
        <v>46197</v>
      </c>
      <c r="D16">
        <v>48</v>
      </c>
      <c r="E16">
        <v>265</v>
      </c>
      <c r="F16">
        <v>122</v>
      </c>
      <c r="G16">
        <v>650</v>
      </c>
      <c r="H16">
        <f t="shared" si="0"/>
        <v>5.52</v>
      </c>
      <c r="I16">
        <f t="shared" si="1"/>
        <v>5.33</v>
      </c>
      <c r="J16">
        <f>F16-IFERROR(VLOOKUP($A16,'0703'!$A$1:G65,6,FALSE),IFERROR(VLOOKUP($C16,'0703'!$C$1:G65,4,FALSE),F16-D16))</f>
        <v>0</v>
      </c>
      <c r="K16">
        <f>G16-IFERROR(VLOOKUP($A16,'0703'!$A$1:H65,7,FALSE),IFERROR(VLOOKUP($C16,'0703'!$C$1:H65,5,FALSE),G16-E16))</f>
        <v>0</v>
      </c>
      <c r="L16">
        <f t="shared" si="2"/>
        <v>0</v>
      </c>
      <c r="M16" t="s">
        <v>23</v>
      </c>
      <c r="N16" t="s">
        <v>77</v>
      </c>
    </row>
    <row r="17" spans="1:15" x14ac:dyDescent="0.25">
      <c r="A17" t="s">
        <v>24</v>
      </c>
      <c r="B17" t="s">
        <v>13</v>
      </c>
      <c r="C17" s="1">
        <v>46196</v>
      </c>
      <c r="D17">
        <v>96</v>
      </c>
      <c r="E17">
        <v>10</v>
      </c>
      <c r="F17">
        <v>922</v>
      </c>
      <c r="G17">
        <v>281</v>
      </c>
      <c r="H17">
        <f t="shared" si="0"/>
        <v>0.1</v>
      </c>
      <c r="I17">
        <f t="shared" si="1"/>
        <v>0.3</v>
      </c>
      <c r="J17">
        <f>F17-IFERROR(VLOOKUP($A17,'0703'!$A$1:G66,6,FALSE),IFERROR(VLOOKUP($C17,'0703'!$C$1:G66,4,FALSE),F17-D17))</f>
        <v>5</v>
      </c>
      <c r="K17">
        <f>G17-IFERROR(VLOOKUP($A17,'0703'!$A$1:H66,7,FALSE),IFERROR(VLOOKUP($C17,'0703'!$C$1:H66,5,FALSE),G17-E17))</f>
        <v>0</v>
      </c>
      <c r="L17">
        <f t="shared" si="2"/>
        <v>0</v>
      </c>
    </row>
    <row r="18" spans="1:15" x14ac:dyDescent="0.25">
      <c r="A18" t="s">
        <v>25</v>
      </c>
      <c r="B18" t="s">
        <v>11</v>
      </c>
      <c r="C18" s="1">
        <v>46196</v>
      </c>
      <c r="D18">
        <v>67</v>
      </c>
      <c r="E18">
        <v>379</v>
      </c>
      <c r="F18">
        <v>195</v>
      </c>
      <c r="G18">
        <v>1365</v>
      </c>
      <c r="H18">
        <f t="shared" si="0"/>
        <v>5.66</v>
      </c>
      <c r="I18">
        <f t="shared" si="1"/>
        <v>7</v>
      </c>
      <c r="J18">
        <f>F18-IFERROR(VLOOKUP($A18,'0703'!$A$1:G67,6,FALSE),IFERROR(VLOOKUP($C18,'0703'!$C$1:G67,4,FALSE),F18-D18))</f>
        <v>7</v>
      </c>
      <c r="K18">
        <f>G18-IFERROR(VLOOKUP($A18,'0703'!$A$1:H67,7,FALSE),IFERROR(VLOOKUP($C18,'0703'!$C$1:H67,5,FALSE),G18-E18))</f>
        <v>69</v>
      </c>
      <c r="L18">
        <f t="shared" si="2"/>
        <v>9.86</v>
      </c>
      <c r="M18" t="s">
        <v>78</v>
      </c>
    </row>
    <row r="19" spans="1:15" x14ac:dyDescent="0.25">
      <c r="A19" t="s">
        <v>26</v>
      </c>
      <c r="B19" t="s">
        <v>11</v>
      </c>
      <c r="C19" s="1">
        <v>46195</v>
      </c>
      <c r="D19">
        <v>62</v>
      </c>
      <c r="E19">
        <v>329</v>
      </c>
      <c r="F19">
        <v>152</v>
      </c>
      <c r="G19">
        <v>730</v>
      </c>
      <c r="H19">
        <f t="shared" si="0"/>
        <v>5.31</v>
      </c>
      <c r="I19">
        <f t="shared" si="1"/>
        <v>4.8</v>
      </c>
      <c r="J19">
        <f>F19-IFERROR(VLOOKUP($A19,'0703'!$A$1:G68,6,FALSE),IFERROR(VLOOKUP($C19,'0703'!$C$1:G68,4,FALSE),F19-D19))</f>
        <v>4</v>
      </c>
      <c r="K19">
        <f>G19-IFERROR(VLOOKUP($A19,'0703'!$A$1:H68,7,FALSE),IFERROR(VLOOKUP($C19,'0703'!$C$1:H68,5,FALSE),G19-E19))</f>
        <v>0</v>
      </c>
      <c r="L19">
        <f t="shared" si="2"/>
        <v>0</v>
      </c>
      <c r="M19" t="s">
        <v>27</v>
      </c>
      <c r="N19" t="s">
        <v>84</v>
      </c>
    </row>
    <row r="20" spans="1:15" x14ac:dyDescent="0.25">
      <c r="A20" t="s">
        <v>28</v>
      </c>
      <c r="B20" t="s">
        <v>11</v>
      </c>
      <c r="C20" s="1">
        <v>46194</v>
      </c>
      <c r="D20">
        <v>20</v>
      </c>
      <c r="E20">
        <v>229</v>
      </c>
      <c r="F20">
        <v>154</v>
      </c>
      <c r="G20">
        <v>1024</v>
      </c>
      <c r="H20">
        <f t="shared" si="0"/>
        <v>11.45</v>
      </c>
      <c r="I20">
        <f t="shared" si="1"/>
        <v>6.65</v>
      </c>
      <c r="J20">
        <f>F20-IFERROR(VLOOKUP($A20,'0703'!$A$1:G69,6,FALSE),IFERROR(VLOOKUP($C20,'0703'!$C$1:G69,4,FALSE),F20-D20))</f>
        <v>0</v>
      </c>
      <c r="K20">
        <f>G20-IFERROR(VLOOKUP($A20,'0703'!$A$1:H69,7,FALSE),IFERROR(VLOOKUP($C20,'0703'!$C$1:H69,5,FALSE),G20-E20))</f>
        <v>0</v>
      </c>
      <c r="L20">
        <f t="shared" si="2"/>
        <v>0</v>
      </c>
      <c r="M20" t="s">
        <v>29</v>
      </c>
      <c r="N20" t="s">
        <v>30</v>
      </c>
    </row>
    <row r="21" spans="1:15" x14ac:dyDescent="0.25">
      <c r="A21" t="s">
        <v>31</v>
      </c>
      <c r="B21" t="s">
        <v>32</v>
      </c>
      <c r="C21" s="1">
        <v>46193</v>
      </c>
      <c r="D21">
        <v>20</v>
      </c>
      <c r="E21">
        <v>10</v>
      </c>
      <c r="F21">
        <v>148</v>
      </c>
      <c r="G21">
        <v>114</v>
      </c>
      <c r="H21">
        <f t="shared" si="0"/>
        <v>0.5</v>
      </c>
      <c r="I21">
        <f t="shared" si="1"/>
        <v>0.77</v>
      </c>
      <c r="J21">
        <f>F21-IFERROR(VLOOKUP($A21,'0703'!$A$1:G70,6,FALSE),IFERROR(VLOOKUP($C21,'0703'!$C$1:G70,4,FALSE),F21-D21))</f>
        <v>4</v>
      </c>
      <c r="K21">
        <f>G21-IFERROR(VLOOKUP($A21,'0703'!$A$1:H70,7,FALSE),IFERROR(VLOOKUP($C21,'0703'!$C$1:H70,5,FALSE),G21-E21))</f>
        <v>0</v>
      </c>
      <c r="L21">
        <f t="shared" si="2"/>
        <v>0</v>
      </c>
    </row>
    <row r="22" spans="1:15" x14ac:dyDescent="0.25">
      <c r="A22" t="s">
        <v>33</v>
      </c>
      <c r="B22" t="s">
        <v>11</v>
      </c>
      <c r="C22" s="1">
        <v>46193</v>
      </c>
      <c r="D22">
        <v>32</v>
      </c>
      <c r="E22">
        <v>165</v>
      </c>
      <c r="F22">
        <v>161</v>
      </c>
      <c r="G22">
        <v>1668</v>
      </c>
      <c r="H22">
        <f t="shared" si="0"/>
        <v>5.16</v>
      </c>
      <c r="I22">
        <f t="shared" si="1"/>
        <v>10.36</v>
      </c>
      <c r="J22">
        <f>F22-IFERROR(VLOOKUP($A22,'0703'!$A$1:G71,6,FALSE),IFERROR(VLOOKUP($C22,'0703'!$C$1:G71,4,FALSE),F22-D22))</f>
        <v>12</v>
      </c>
      <c r="K22">
        <f>G22-IFERROR(VLOOKUP($A22,'0703'!$A$1:H71,7,FALSE),IFERROR(VLOOKUP($C22,'0703'!$C$1:H71,5,FALSE),G22-E22))</f>
        <v>51</v>
      </c>
      <c r="L22">
        <f t="shared" si="2"/>
        <v>4.25</v>
      </c>
      <c r="M22" t="s">
        <v>34</v>
      </c>
      <c r="N22" t="s">
        <v>35</v>
      </c>
      <c r="O22" t="s">
        <v>85</v>
      </c>
    </row>
    <row r="23" spans="1:15" x14ac:dyDescent="0.25">
      <c r="A23" t="s">
        <v>36</v>
      </c>
      <c r="B23" t="s">
        <v>11</v>
      </c>
      <c r="C23" s="1">
        <v>46192</v>
      </c>
      <c r="D23">
        <v>153</v>
      </c>
      <c r="E23">
        <v>76</v>
      </c>
      <c r="F23">
        <v>2013</v>
      </c>
      <c r="G23">
        <v>1204</v>
      </c>
      <c r="H23">
        <f t="shared" si="0"/>
        <v>0.5</v>
      </c>
      <c r="I23">
        <f t="shared" si="1"/>
        <v>0.6</v>
      </c>
      <c r="J23">
        <f>F23-IFERROR(VLOOKUP($A23,'0703'!$A$1:G72,6,FALSE),IFERROR(VLOOKUP($C23,'0703'!$C$1:G72,4,FALSE),F23-D23))</f>
        <v>6</v>
      </c>
      <c r="K23">
        <f>G23-IFERROR(VLOOKUP($A23,'0703'!$A$1:H72,7,FALSE),IFERROR(VLOOKUP($C23,'0703'!$C$1:H72,5,FALSE),G23-E23))</f>
        <v>0</v>
      </c>
      <c r="L23">
        <f t="shared" si="2"/>
        <v>0</v>
      </c>
    </row>
    <row r="24" spans="1:15" x14ac:dyDescent="0.25">
      <c r="A24" t="s">
        <v>37</v>
      </c>
      <c r="B24" t="s">
        <v>11</v>
      </c>
      <c r="C24" s="1">
        <v>46191</v>
      </c>
      <c r="D24">
        <v>91</v>
      </c>
      <c r="E24">
        <v>7</v>
      </c>
      <c r="F24">
        <v>385</v>
      </c>
      <c r="G24">
        <v>218</v>
      </c>
      <c r="H24">
        <f t="shared" si="0"/>
        <v>0.08</v>
      </c>
      <c r="I24">
        <f t="shared" si="1"/>
        <v>0.56999999999999995</v>
      </c>
      <c r="J24">
        <f>F24-IFERROR(VLOOKUP($A24,'0703'!$A$1:G73,6,FALSE),IFERROR(VLOOKUP($C24,'0703'!$C$1:G73,4,FALSE),F24-D24))</f>
        <v>3</v>
      </c>
      <c r="K24">
        <f>G24-IFERROR(VLOOKUP($A24,'0703'!$A$1:H73,7,FALSE),IFERROR(VLOOKUP($C24,'0703'!$C$1:H73,5,FALSE),G24-E24))</f>
        <v>0</v>
      </c>
      <c r="L24">
        <f t="shared" si="2"/>
        <v>0</v>
      </c>
    </row>
    <row r="25" spans="1:15" x14ac:dyDescent="0.25">
      <c r="A25" t="s">
        <v>38</v>
      </c>
      <c r="B25" t="s">
        <v>11</v>
      </c>
      <c r="C25" s="1">
        <v>46190</v>
      </c>
      <c r="D25">
        <v>32</v>
      </c>
      <c r="E25">
        <v>1</v>
      </c>
      <c r="F25">
        <v>700</v>
      </c>
      <c r="G25">
        <v>7</v>
      </c>
      <c r="H25">
        <f t="shared" si="0"/>
        <v>0.03</v>
      </c>
      <c r="I25">
        <f t="shared" si="1"/>
        <v>0.01</v>
      </c>
      <c r="J25">
        <f>F25-IFERROR(VLOOKUP($A25,'0703'!$A$1:G74,6,FALSE),IFERROR(VLOOKUP($C25,'0703'!$C$1:G74,4,FALSE),F25-D25))</f>
        <v>3</v>
      </c>
      <c r="K25">
        <f>G25-IFERROR(VLOOKUP($A25,'0703'!$A$1:H74,7,FALSE),IFERROR(VLOOKUP($C25,'0703'!$C$1:H74,5,FALSE),G25-E25))</f>
        <v>0</v>
      </c>
      <c r="L25">
        <f t="shared" si="2"/>
        <v>0</v>
      </c>
    </row>
    <row r="26" spans="1:15" x14ac:dyDescent="0.25">
      <c r="A26" t="s">
        <v>39</v>
      </c>
      <c r="B26" t="s">
        <v>11</v>
      </c>
      <c r="C26" s="1">
        <v>46189</v>
      </c>
      <c r="D26">
        <v>9</v>
      </c>
      <c r="E26">
        <v>19</v>
      </c>
      <c r="F26">
        <v>151</v>
      </c>
      <c r="G26">
        <v>941</v>
      </c>
      <c r="H26">
        <f t="shared" si="0"/>
        <v>2.11</v>
      </c>
      <c r="I26">
        <f t="shared" si="1"/>
        <v>6.23</v>
      </c>
      <c r="J26">
        <f>F26-IFERROR(VLOOKUP($A26,'0703'!$A$1:G75,6,FALSE),IFERROR(VLOOKUP($C26,'0703'!$C$1:G75,4,FALSE),F26-D26))</f>
        <v>3</v>
      </c>
      <c r="K26">
        <f>G26-IFERROR(VLOOKUP($A26,'0703'!$A$1:H75,7,FALSE),IFERROR(VLOOKUP($C26,'0703'!$C$1:H75,5,FALSE),G26-E26))</f>
        <v>0</v>
      </c>
      <c r="L26">
        <f t="shared" si="2"/>
        <v>0</v>
      </c>
      <c r="M26" t="s">
        <v>40</v>
      </c>
      <c r="N26" t="s">
        <v>41</v>
      </c>
      <c r="O26" t="s">
        <v>42</v>
      </c>
    </row>
    <row r="27" spans="1:15" x14ac:dyDescent="0.25">
      <c r="A27" t="s">
        <v>86</v>
      </c>
      <c r="B27" t="s">
        <v>11</v>
      </c>
      <c r="C27" s="1">
        <v>46188</v>
      </c>
      <c r="D27">
        <v>19</v>
      </c>
      <c r="E27">
        <v>7</v>
      </c>
      <c r="F27">
        <v>61</v>
      </c>
      <c r="G27">
        <v>73</v>
      </c>
      <c r="H27">
        <f t="shared" si="0"/>
        <v>0.37</v>
      </c>
      <c r="I27">
        <f t="shared" si="1"/>
        <v>1.2</v>
      </c>
      <c r="J27">
        <f>F27-IFERROR(VLOOKUP($A27,'0703'!$A$1:G76,6,FALSE),IFERROR(VLOOKUP($C27,'0703'!$C$1:G76,4,FALSE),F27-D27))</f>
        <v>2</v>
      </c>
      <c r="K27">
        <f>G27-IFERROR(VLOOKUP($A27,'0703'!$A$1:H76,7,FALSE),IFERROR(VLOOKUP($C27,'0703'!$C$1:H76,5,FALSE),G27-E27))</f>
        <v>0</v>
      </c>
      <c r="L27">
        <f t="shared" si="2"/>
        <v>0</v>
      </c>
    </row>
    <row r="28" spans="1:15" x14ac:dyDescent="0.25">
      <c r="A28" t="s">
        <v>43</v>
      </c>
      <c r="B28" t="s">
        <v>11</v>
      </c>
      <c r="C28" s="1">
        <v>46187</v>
      </c>
      <c r="D28">
        <v>199</v>
      </c>
      <c r="E28">
        <v>107</v>
      </c>
      <c r="F28">
        <v>11096</v>
      </c>
      <c r="G28">
        <v>809</v>
      </c>
      <c r="H28">
        <f t="shared" si="0"/>
        <v>0.54</v>
      </c>
      <c r="I28">
        <f t="shared" si="1"/>
        <v>7.0000000000000007E-2</v>
      </c>
      <c r="J28">
        <f>F28-IFERROR(VLOOKUP($A28,'0703'!$A$1:G77,6,FALSE),IFERROR(VLOOKUP($C28,'0703'!$C$1:G77,4,FALSE),F28-D28))</f>
        <v>16</v>
      </c>
      <c r="K28">
        <f>G28-IFERROR(VLOOKUP($A28,'0703'!$A$1:H77,7,FALSE),IFERROR(VLOOKUP($C28,'0703'!$C$1:H77,5,FALSE),G28-E28))</f>
        <v>0</v>
      </c>
      <c r="L28">
        <f t="shared" si="2"/>
        <v>0</v>
      </c>
    </row>
    <row r="29" spans="1:15" x14ac:dyDescent="0.25">
      <c r="A29" t="s">
        <v>47</v>
      </c>
      <c r="B29" t="s">
        <v>11</v>
      </c>
      <c r="C29" s="1">
        <v>46182</v>
      </c>
      <c r="D29">
        <v>3</v>
      </c>
      <c r="E29">
        <v>22</v>
      </c>
      <c r="F29">
        <v>122</v>
      </c>
      <c r="G29">
        <v>284</v>
      </c>
      <c r="H29">
        <f t="shared" si="0"/>
        <v>7.33</v>
      </c>
      <c r="I29">
        <f t="shared" si="1"/>
        <v>2.33</v>
      </c>
      <c r="J29">
        <f>F29-IFERROR(VLOOKUP($A29,'0703'!$A$1:G78,6,FALSE),IFERROR(VLOOKUP($C29,'0703'!$C$1:G78,4,FALSE),F29-D29))</f>
        <v>0</v>
      </c>
      <c r="K29">
        <f>G29-IFERROR(VLOOKUP($A29,'0703'!$A$1:H78,7,FALSE),IFERROR(VLOOKUP($C29,'0703'!$C$1:H78,5,FALSE),G29-E29))</f>
        <v>0</v>
      </c>
      <c r="L29">
        <f t="shared" si="2"/>
        <v>0</v>
      </c>
    </row>
    <row r="30" spans="1:15" x14ac:dyDescent="0.25">
      <c r="A30" t="s">
        <v>48</v>
      </c>
      <c r="B30" t="s">
        <v>11</v>
      </c>
      <c r="C30" s="1">
        <v>46177</v>
      </c>
      <c r="D30">
        <v>21</v>
      </c>
      <c r="E30">
        <v>19</v>
      </c>
      <c r="F30">
        <v>346</v>
      </c>
      <c r="G30">
        <v>665</v>
      </c>
      <c r="H30">
        <f t="shared" si="0"/>
        <v>0.9</v>
      </c>
      <c r="I30">
        <f t="shared" si="1"/>
        <v>1.92</v>
      </c>
      <c r="J30">
        <f>F30-IFERROR(VLOOKUP($A30,'0703'!$A$1:G79,6,FALSE),IFERROR(VLOOKUP($C30,'0703'!$C$1:G79,4,FALSE),F30-D30))</f>
        <v>2</v>
      </c>
      <c r="K30">
        <f>G30-IFERROR(VLOOKUP($A30,'0703'!$A$1:H79,7,FALSE),IFERROR(VLOOKUP($C30,'0703'!$C$1:H79,5,FALSE),G30-E30))</f>
        <v>0</v>
      </c>
      <c r="L30">
        <f t="shared" si="2"/>
        <v>0</v>
      </c>
    </row>
    <row r="31" spans="1:15" x14ac:dyDescent="0.25">
      <c r="A31" t="s">
        <v>50</v>
      </c>
      <c r="B31" t="s">
        <v>11</v>
      </c>
      <c r="C31" s="1">
        <v>46172</v>
      </c>
      <c r="D31">
        <v>3</v>
      </c>
      <c r="E31">
        <v>7</v>
      </c>
      <c r="F31">
        <v>184</v>
      </c>
      <c r="G31">
        <v>144</v>
      </c>
      <c r="H31">
        <f t="shared" si="0"/>
        <v>2.33</v>
      </c>
      <c r="I31">
        <f t="shared" si="1"/>
        <v>0.78</v>
      </c>
      <c r="J31">
        <f>F31-IFERROR(VLOOKUP($A31,'0703'!$A$1:G80,6,FALSE),IFERROR(VLOOKUP($C31,'0703'!$C$1:G80,4,FALSE),F31-D31))</f>
        <v>0</v>
      </c>
      <c r="K31">
        <f>G31-IFERROR(VLOOKUP($A31,'0703'!$A$1:H80,7,FALSE),IFERROR(VLOOKUP($C31,'0703'!$C$1:H80,5,FALSE),G31-E31))</f>
        <v>0</v>
      </c>
      <c r="L31">
        <f t="shared" si="2"/>
        <v>0</v>
      </c>
    </row>
    <row r="32" spans="1:15" x14ac:dyDescent="0.25">
      <c r="A32" t="s">
        <v>52</v>
      </c>
      <c r="B32" t="s">
        <v>11</v>
      </c>
      <c r="C32" s="1">
        <v>46164</v>
      </c>
      <c r="D32">
        <v>34</v>
      </c>
      <c r="E32">
        <v>12</v>
      </c>
      <c r="F32">
        <v>596</v>
      </c>
      <c r="G32">
        <v>240</v>
      </c>
      <c r="H32">
        <f t="shared" si="0"/>
        <v>0.35</v>
      </c>
      <c r="I32">
        <f t="shared" si="1"/>
        <v>0.4</v>
      </c>
      <c r="J32">
        <f>F32-IFERROR(VLOOKUP($A32,'0703'!$A$1:G81,6,FALSE),IFERROR(VLOOKUP($C32,'0703'!$C$1:G81,4,FALSE),F32-D32))</f>
        <v>7</v>
      </c>
      <c r="K32">
        <f>G32-IFERROR(VLOOKUP($A32,'0703'!$A$1:H81,7,FALSE),IFERROR(VLOOKUP($C32,'0703'!$C$1:H81,5,FALSE),G32-E32))</f>
        <v>0</v>
      </c>
      <c r="L32">
        <f t="shared" si="2"/>
        <v>0</v>
      </c>
    </row>
    <row r="33" spans="1:12" x14ac:dyDescent="0.25">
      <c r="A33" t="s">
        <v>79</v>
      </c>
      <c r="B33" t="s">
        <v>11</v>
      </c>
      <c r="C33" s="1">
        <v>46153</v>
      </c>
      <c r="D33">
        <v>6</v>
      </c>
      <c r="E33">
        <v>5</v>
      </c>
      <c r="F33">
        <v>134</v>
      </c>
      <c r="G33">
        <v>98</v>
      </c>
      <c r="H33">
        <f t="shared" si="0"/>
        <v>0.83</v>
      </c>
      <c r="I33">
        <f t="shared" si="1"/>
        <v>0.73</v>
      </c>
      <c r="J33">
        <f>F33-IFERROR(VLOOKUP($A33,'0703'!$A$1:G82,6,FALSE),IFERROR(VLOOKUP($C33,'0703'!$C$1:G82,4,FALSE),F33-D33))</f>
        <v>0</v>
      </c>
      <c r="K33">
        <f>G33-IFERROR(VLOOKUP($A33,'0703'!$A$1:H82,7,FALSE),IFERROR(VLOOKUP($C33,'0703'!$C$1:H82,5,FALSE),G33-E33))</f>
        <v>0</v>
      </c>
      <c r="L33">
        <f t="shared" si="2"/>
        <v>0</v>
      </c>
    </row>
    <row r="34" spans="1:12" x14ac:dyDescent="0.25">
      <c r="A34" t="s">
        <v>55</v>
      </c>
      <c r="B34" t="s">
        <v>11</v>
      </c>
      <c r="C34" s="1">
        <v>46129</v>
      </c>
      <c r="D34">
        <v>13</v>
      </c>
      <c r="E34">
        <v>12</v>
      </c>
      <c r="F34">
        <v>403</v>
      </c>
      <c r="G34">
        <v>129</v>
      </c>
      <c r="H34">
        <f t="shared" si="0"/>
        <v>0.92</v>
      </c>
      <c r="I34">
        <f t="shared" si="1"/>
        <v>0.32</v>
      </c>
      <c r="J34">
        <f>F34-IFERROR(VLOOKUP($A34,'0703'!$A$1:G83,6,FALSE),IFERROR(VLOOKUP($C34,'0703'!$C$1:G83,4,FALSE),F34-D34))</f>
        <v>0</v>
      </c>
      <c r="K34">
        <f>G34-IFERROR(VLOOKUP($A34,'0703'!$A$1:H83,7,FALSE),IFERROR(VLOOKUP($C34,'0703'!$C$1:H83,5,FALSE),G34-E34))</f>
        <v>0</v>
      </c>
      <c r="L34">
        <f t="shared" si="2"/>
        <v>0</v>
      </c>
    </row>
    <row r="35" spans="1:12" x14ac:dyDescent="0.25">
      <c r="A35" t="s">
        <v>87</v>
      </c>
      <c r="B35" t="s">
        <v>11</v>
      </c>
      <c r="C35" s="1">
        <v>46103</v>
      </c>
      <c r="D35">
        <v>5</v>
      </c>
      <c r="E35">
        <v>6</v>
      </c>
      <c r="F35">
        <v>192</v>
      </c>
      <c r="G35">
        <v>115</v>
      </c>
      <c r="H35">
        <f t="shared" si="0"/>
        <v>1.2</v>
      </c>
      <c r="I35">
        <f t="shared" si="1"/>
        <v>0.6</v>
      </c>
      <c r="J35">
        <f>F35-IFERROR(VLOOKUP($A35,'0703'!$A$1:G84,6,FALSE),IFERROR(VLOOKUP($C35,'0703'!$C$1:G84,4,FALSE),F35-D35))</f>
        <v>0</v>
      </c>
      <c r="K35">
        <f>G35-IFERROR(VLOOKUP($A35,'0703'!$A$1:H84,7,FALSE),IFERROR(VLOOKUP($C35,'0703'!$C$1:H84,5,FALSE),G35-E35))</f>
        <v>0</v>
      </c>
      <c r="L35">
        <f t="shared" si="2"/>
        <v>0</v>
      </c>
    </row>
    <row r="36" spans="1:12" x14ac:dyDescent="0.25">
      <c r="A36" t="s">
        <v>56</v>
      </c>
      <c r="B36" t="s">
        <v>11</v>
      </c>
      <c r="C36" s="1">
        <v>46063</v>
      </c>
      <c r="D36">
        <v>1</v>
      </c>
      <c r="E36">
        <v>9</v>
      </c>
      <c r="F36">
        <v>248</v>
      </c>
      <c r="G36">
        <v>523</v>
      </c>
      <c r="H36">
        <f t="shared" si="0"/>
        <v>9</v>
      </c>
      <c r="I36">
        <f t="shared" si="1"/>
        <v>2.11</v>
      </c>
      <c r="J36">
        <f>F36-IFERROR(VLOOKUP($A36,'0703'!$A$1:G85,6,FALSE),IFERROR(VLOOKUP($C36,'0703'!$C$1:G85,4,FALSE),F36-D36))</f>
        <v>0</v>
      </c>
      <c r="K36">
        <f>G36-IFERROR(VLOOKUP($A36,'0703'!$A$1:H85,7,FALSE),IFERROR(VLOOKUP($C36,'0703'!$C$1:H85,5,FALSE),G36-E36))</f>
        <v>0</v>
      </c>
      <c r="L36">
        <f t="shared" si="2"/>
        <v>0</v>
      </c>
    </row>
    <row r="37" spans="1:12" x14ac:dyDescent="0.25">
      <c r="A37" t="s">
        <v>58</v>
      </c>
      <c r="B37" t="s">
        <v>11</v>
      </c>
      <c r="C37" s="1">
        <v>46031</v>
      </c>
      <c r="D37">
        <v>183</v>
      </c>
      <c r="E37">
        <v>9</v>
      </c>
      <c r="F37">
        <v>3042</v>
      </c>
      <c r="G37">
        <v>1465</v>
      </c>
      <c r="H37">
        <f t="shared" si="0"/>
        <v>0.05</v>
      </c>
      <c r="I37">
        <f t="shared" si="1"/>
        <v>0.48</v>
      </c>
      <c r="J37">
        <f>F37-IFERROR(VLOOKUP($A37,'0703'!$A$1:G86,6,FALSE),IFERROR(VLOOKUP($C37,'0703'!$C$1:G86,4,FALSE),F37-D37))</f>
        <v>4</v>
      </c>
      <c r="K37">
        <f>G37-IFERROR(VLOOKUP($A37,'0703'!$A$1:H86,7,FALSE),IFERROR(VLOOKUP($C37,'0703'!$C$1:H86,5,FALSE),G37-E37))</f>
        <v>0</v>
      </c>
      <c r="L37">
        <f t="shared" si="2"/>
        <v>0</v>
      </c>
    </row>
    <row r="38" spans="1:12" x14ac:dyDescent="0.25">
      <c r="A38" t="s">
        <v>80</v>
      </c>
      <c r="B38" t="s">
        <v>11</v>
      </c>
      <c r="C38" s="1">
        <v>45995</v>
      </c>
      <c r="D38">
        <v>11</v>
      </c>
      <c r="E38">
        <v>7</v>
      </c>
      <c r="F38">
        <v>4483</v>
      </c>
      <c r="G38">
        <v>1457</v>
      </c>
      <c r="H38">
        <f t="shared" si="0"/>
        <v>0.64</v>
      </c>
      <c r="I38">
        <f t="shared" si="1"/>
        <v>0.33</v>
      </c>
      <c r="J38">
        <f>F38-IFERROR(VLOOKUP($A38,'0703'!$A$1:G87,6,FALSE),IFERROR(VLOOKUP($C38,'0703'!$C$1:G87,4,FALSE),F38-D38))</f>
        <v>0</v>
      </c>
      <c r="K38">
        <f>G38-IFERROR(VLOOKUP($A38,'0703'!$A$1:H87,7,FALSE),IFERROR(VLOOKUP($C38,'0703'!$C$1:H87,5,FALSE),G38-E38))</f>
        <v>0</v>
      </c>
      <c r="L38">
        <f t="shared" si="2"/>
        <v>0</v>
      </c>
    </row>
    <row r="39" spans="1:12" x14ac:dyDescent="0.25">
      <c r="A39" t="s">
        <v>88</v>
      </c>
      <c r="B39" t="s">
        <v>11</v>
      </c>
      <c r="C39" s="1">
        <v>45990</v>
      </c>
      <c r="D39">
        <v>27</v>
      </c>
      <c r="E39">
        <v>1</v>
      </c>
      <c r="F39">
        <v>1106</v>
      </c>
      <c r="G39">
        <v>1170</v>
      </c>
      <c r="H39">
        <f t="shared" si="0"/>
        <v>0.04</v>
      </c>
      <c r="I39">
        <f t="shared" si="1"/>
        <v>1.06</v>
      </c>
      <c r="J39">
        <f>F39-IFERROR(VLOOKUP($A39,'0703'!$A$1:G88,6,FALSE),IFERROR(VLOOKUP($C39,'0703'!$C$1:G88,4,FALSE),F39-D39))</f>
        <v>10</v>
      </c>
      <c r="K39">
        <f>G39-IFERROR(VLOOKUP($A39,'0703'!$A$1:H88,7,FALSE),IFERROR(VLOOKUP($C39,'0703'!$C$1:H88,5,FALSE),G39-E39))</f>
        <v>0</v>
      </c>
      <c r="L39">
        <f t="shared" si="2"/>
        <v>0</v>
      </c>
    </row>
    <row r="40" spans="1:12" x14ac:dyDescent="0.25">
      <c r="A40" t="s">
        <v>61</v>
      </c>
      <c r="B40" t="s">
        <v>11</v>
      </c>
      <c r="C40" s="1">
        <v>45982</v>
      </c>
      <c r="D40">
        <v>33</v>
      </c>
      <c r="E40">
        <v>3</v>
      </c>
      <c r="F40">
        <v>340</v>
      </c>
      <c r="G40">
        <v>940</v>
      </c>
      <c r="H40">
        <f t="shared" si="0"/>
        <v>0.09</v>
      </c>
      <c r="I40">
        <f t="shared" si="1"/>
        <v>2.76</v>
      </c>
      <c r="J40">
        <f>F40-IFERROR(VLOOKUP($A40,'0703'!$A$1:G89,6,FALSE),IFERROR(VLOOKUP($C40,'0703'!$C$1:G89,4,FALSE),F40-D40))</f>
        <v>0</v>
      </c>
      <c r="K40">
        <f>G40-IFERROR(VLOOKUP($A40,'0703'!$A$1:H89,7,FALSE),IFERROR(VLOOKUP($C40,'0703'!$C$1:H89,5,FALSE),G40-E40))</f>
        <v>0</v>
      </c>
      <c r="L40">
        <f t="shared" si="2"/>
        <v>0</v>
      </c>
    </row>
    <row r="41" spans="1:12" x14ac:dyDescent="0.25">
      <c r="A41" t="s">
        <v>62</v>
      </c>
      <c r="B41" t="s">
        <v>11</v>
      </c>
      <c r="C41" s="1">
        <v>45973</v>
      </c>
      <c r="D41">
        <v>14</v>
      </c>
      <c r="E41">
        <v>3</v>
      </c>
      <c r="F41">
        <v>20300</v>
      </c>
      <c r="G41">
        <v>6787</v>
      </c>
      <c r="H41">
        <f t="shared" si="0"/>
        <v>0.21</v>
      </c>
      <c r="I41">
        <f t="shared" si="1"/>
        <v>0.33</v>
      </c>
      <c r="J41">
        <f>F41-IFERROR(VLOOKUP($A41,'0703'!$A$1:G90,6,FALSE),IFERROR(VLOOKUP($C41,'0703'!$C$1:G90,4,FALSE),F41-D41))</f>
        <v>1</v>
      </c>
      <c r="K41">
        <f>G41-IFERROR(VLOOKUP($A41,'0703'!$A$1:H90,7,FALSE),IFERROR(VLOOKUP($C41,'0703'!$C$1:H90,5,FALSE),G41-E41))</f>
        <v>0</v>
      </c>
      <c r="L41">
        <f t="shared" si="2"/>
        <v>0</v>
      </c>
    </row>
    <row r="42" spans="1:12" x14ac:dyDescent="0.25">
      <c r="A42" t="s">
        <v>64</v>
      </c>
      <c r="B42" t="s">
        <v>11</v>
      </c>
      <c r="C42" s="1">
        <v>45937</v>
      </c>
      <c r="D42">
        <v>19</v>
      </c>
      <c r="E42">
        <v>5</v>
      </c>
      <c r="F42">
        <v>994</v>
      </c>
      <c r="G42">
        <v>654</v>
      </c>
      <c r="H42">
        <f t="shared" si="0"/>
        <v>0.26</v>
      </c>
      <c r="I42">
        <f t="shared" si="1"/>
        <v>0.66</v>
      </c>
      <c r="J42">
        <f>F42-IFERROR(VLOOKUP($A42,'0703'!$A$1:G91,6,FALSE),IFERROR(VLOOKUP($C42,'0703'!$C$1:G91,4,FALSE),F42-D42))</f>
        <v>0</v>
      </c>
      <c r="K42">
        <f>G42-IFERROR(VLOOKUP($A42,'0703'!$A$1:H91,7,FALSE),IFERROR(VLOOKUP($C42,'0703'!$C$1:H91,5,FALSE),G42-E42))</f>
        <v>0</v>
      </c>
      <c r="L42">
        <f t="shared" si="2"/>
        <v>0</v>
      </c>
    </row>
    <row r="43" spans="1:12" x14ac:dyDescent="0.25">
      <c r="A43" t="s">
        <v>65</v>
      </c>
      <c r="B43" t="s">
        <v>11</v>
      </c>
      <c r="C43" s="1">
        <v>45933</v>
      </c>
      <c r="D43">
        <v>23</v>
      </c>
      <c r="E43">
        <v>1</v>
      </c>
      <c r="F43">
        <v>356</v>
      </c>
      <c r="G43">
        <v>539</v>
      </c>
      <c r="H43">
        <f t="shared" si="0"/>
        <v>0.04</v>
      </c>
      <c r="I43">
        <f t="shared" si="1"/>
        <v>1.51</v>
      </c>
      <c r="J43">
        <f>F43-IFERROR(VLOOKUP($A43,'0703'!$A$1:G92,6,FALSE),IFERROR(VLOOKUP($C43,'0703'!$C$1:G92,4,FALSE),F43-D43))</f>
        <v>0</v>
      </c>
      <c r="K43">
        <f>G43-IFERROR(VLOOKUP($A43,'0703'!$A$1:H92,7,FALSE),IFERROR(VLOOKUP($C43,'0703'!$C$1:H92,5,FALSE),G43-E43))</f>
        <v>0</v>
      </c>
      <c r="L43">
        <f t="shared" si="2"/>
        <v>0</v>
      </c>
    </row>
    <row r="44" spans="1:12" x14ac:dyDescent="0.25">
      <c r="A44" t="s">
        <v>66</v>
      </c>
      <c r="B44" t="s">
        <v>11</v>
      </c>
      <c r="C44" s="1">
        <v>45930</v>
      </c>
      <c r="D44">
        <v>13</v>
      </c>
      <c r="E44">
        <v>2</v>
      </c>
      <c r="F44">
        <v>409</v>
      </c>
      <c r="G44">
        <v>314</v>
      </c>
      <c r="H44">
        <f t="shared" si="0"/>
        <v>0.15</v>
      </c>
      <c r="I44">
        <f t="shared" si="1"/>
        <v>0.77</v>
      </c>
      <c r="J44">
        <f>F44-IFERROR(VLOOKUP($A44,'0703'!$A$1:G93,6,FALSE),IFERROR(VLOOKUP($C44,'0703'!$C$1:G93,4,FALSE),F44-D44))</f>
        <v>0</v>
      </c>
      <c r="K44">
        <f>G44-IFERROR(VLOOKUP($A44,'0703'!$A$1:H93,7,FALSE),IFERROR(VLOOKUP($C44,'0703'!$C$1:H93,5,FALSE),G44-E44))</f>
        <v>0</v>
      </c>
      <c r="L44">
        <f t="shared" si="2"/>
        <v>0</v>
      </c>
    </row>
    <row r="45" spans="1:12" x14ac:dyDescent="0.25">
      <c r="A45" t="s">
        <v>67</v>
      </c>
      <c r="B45" t="s">
        <v>11</v>
      </c>
      <c r="C45" s="1">
        <v>45927</v>
      </c>
      <c r="D45">
        <v>3</v>
      </c>
      <c r="E45">
        <v>1</v>
      </c>
      <c r="F45">
        <v>239</v>
      </c>
      <c r="G45">
        <v>680</v>
      </c>
      <c r="H45">
        <f t="shared" si="0"/>
        <v>0.33</v>
      </c>
      <c r="I45">
        <f t="shared" si="1"/>
        <v>2.85</v>
      </c>
      <c r="J45">
        <f>F45-IFERROR(VLOOKUP($A45,'0703'!$A$1:G94,6,FALSE),IFERROR(VLOOKUP($C45,'0703'!$C$1:G94,4,FALSE),F45-D45))</f>
        <v>0</v>
      </c>
      <c r="K45">
        <f>G45-IFERROR(VLOOKUP($A45,'0703'!$A$1:H94,7,FALSE),IFERROR(VLOOKUP($C45,'0703'!$C$1:H94,5,FALSE),G45-E45))</f>
        <v>0</v>
      </c>
      <c r="L45">
        <f t="shared" si="2"/>
        <v>0</v>
      </c>
    </row>
    <row r="46" spans="1:12" x14ac:dyDescent="0.25">
      <c r="A46" t="s">
        <v>89</v>
      </c>
      <c r="B46" t="s">
        <v>11</v>
      </c>
      <c r="C46" s="1">
        <v>45921</v>
      </c>
      <c r="D46">
        <v>1</v>
      </c>
      <c r="E46">
        <v>1</v>
      </c>
      <c r="F46">
        <v>567</v>
      </c>
      <c r="G46">
        <v>1011</v>
      </c>
      <c r="H46">
        <f t="shared" si="0"/>
        <v>1</v>
      </c>
      <c r="I46">
        <f t="shared" si="1"/>
        <v>1.78</v>
      </c>
      <c r="J46">
        <f>F46-IFERROR(VLOOKUP($A46,'0703'!$A$1:G95,6,FALSE),IFERROR(VLOOKUP($C46,'0703'!$C$1:G95,4,FALSE),F46-D46))</f>
        <v>0</v>
      </c>
      <c r="K46">
        <f>G46-IFERROR(VLOOKUP($A46,'0703'!$A$1:H95,7,FALSE),IFERROR(VLOOKUP($C46,'0703'!$C$1:H95,5,FALSE),G46-E46))</f>
        <v>0</v>
      </c>
      <c r="L46">
        <f t="shared" si="2"/>
        <v>0</v>
      </c>
    </row>
    <row r="47" spans="1:12" x14ac:dyDescent="0.25">
      <c r="A47" t="s">
        <v>98</v>
      </c>
      <c r="B47" t="s">
        <v>11</v>
      </c>
      <c r="C47" s="1">
        <v>45911</v>
      </c>
      <c r="D47">
        <v>8</v>
      </c>
      <c r="E47">
        <v>1</v>
      </c>
      <c r="F47">
        <v>384</v>
      </c>
      <c r="G47">
        <v>391</v>
      </c>
      <c r="H47">
        <f t="shared" si="0"/>
        <v>0.13</v>
      </c>
      <c r="I47">
        <f t="shared" si="1"/>
        <v>1.02</v>
      </c>
      <c r="J47">
        <f>F47-IFERROR(VLOOKUP($A47,'0703'!$A$1:G96,6,FALSE),IFERROR(VLOOKUP($C47,'0703'!$C$1:G96,4,FALSE),F47-D47))</f>
        <v>8</v>
      </c>
      <c r="K47">
        <f>G47-IFERROR(VLOOKUP($A47,'0703'!$A$1:H96,7,FALSE),IFERROR(VLOOKUP($C47,'0703'!$C$1:H96,5,FALSE),G47-E47))</f>
        <v>1</v>
      </c>
      <c r="L47">
        <f t="shared" si="2"/>
        <v>0.13</v>
      </c>
    </row>
    <row r="48" spans="1:12" x14ac:dyDescent="0.25">
      <c r="A48" t="s">
        <v>68</v>
      </c>
      <c r="B48" t="s">
        <v>11</v>
      </c>
      <c r="C48" s="1">
        <v>45899</v>
      </c>
      <c r="D48">
        <v>4</v>
      </c>
      <c r="E48">
        <v>1</v>
      </c>
      <c r="F48">
        <v>805</v>
      </c>
      <c r="G48">
        <v>538</v>
      </c>
      <c r="H48">
        <f t="shared" si="0"/>
        <v>0.25</v>
      </c>
      <c r="I48">
        <f t="shared" si="1"/>
        <v>0.67</v>
      </c>
      <c r="J48">
        <f>F48-IFERROR(VLOOKUP($A48,'0703'!$A$1:G97,6,FALSE),IFERROR(VLOOKUP($C48,'0703'!$C$1:G97,4,FALSE),F48-D48))</f>
        <v>0</v>
      </c>
      <c r="K48">
        <f>G48-IFERROR(VLOOKUP($A48,'0703'!$A$1:H97,7,FALSE),IFERROR(VLOOKUP($C48,'0703'!$C$1:H97,5,FALSE),G48-E48))</f>
        <v>0</v>
      </c>
      <c r="L48">
        <f t="shared" si="2"/>
        <v>0</v>
      </c>
    </row>
    <row r="49" spans="10:11" x14ac:dyDescent="0.25">
      <c r="J49" t="s">
        <v>99</v>
      </c>
      <c r="K49">
        <f>ROUND(SUM(K2:K48),2)</f>
        <v>578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09A2F-80FA-46B5-8206-45390004EEE8}">
  <dimension ref="A1:O47"/>
  <sheetViews>
    <sheetView tabSelected="1" workbookViewId="0"/>
  </sheetViews>
  <sheetFormatPr defaultRowHeight="14.4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90</v>
      </c>
      <c r="I1" t="s">
        <v>91</v>
      </c>
      <c r="J1" t="s">
        <v>92</v>
      </c>
      <c r="K1" t="s">
        <v>93</v>
      </c>
      <c r="L1" t="s">
        <v>100</v>
      </c>
      <c r="M1" t="s">
        <v>95</v>
      </c>
      <c r="N1" t="s">
        <v>96</v>
      </c>
      <c r="O1" t="s">
        <v>97</v>
      </c>
    </row>
    <row r="2" spans="1:15" x14ac:dyDescent="0.25">
      <c r="A2" t="s">
        <v>101</v>
      </c>
      <c r="B2" t="s">
        <v>13</v>
      </c>
      <c r="C2" s="1">
        <v>46207</v>
      </c>
      <c r="D2">
        <v>211</v>
      </c>
      <c r="E2">
        <v>166</v>
      </c>
      <c r="F2">
        <v>211</v>
      </c>
      <c r="G2">
        <v>166</v>
      </c>
      <c r="H2">
        <f>ROUND(E2/D2,2)</f>
        <v>0.79</v>
      </c>
      <c r="I2">
        <f>ROUND(G2/F2,2)</f>
        <v>0.79</v>
      </c>
      <c r="J2">
        <f>F2-IFERROR(VLOOKUP($A2,'0704'!$A$1:G49,6,FALSE),IFERROR(VLOOKUP($C2,'0704'!$C$1:G49,4,FALSE),F2-D2))</f>
        <v>211</v>
      </c>
      <c r="K2">
        <f>G2-IFERROR(VLOOKUP($A2,'0704'!$A$1:H49,7,FALSE),IFERROR(VLOOKUP($C2,'0704'!$C$1:H49,5,FALSE),G2-E2))</f>
        <v>166</v>
      </c>
      <c r="L2">
        <f>IFERROR(ROUND(K2/J2,2),)</f>
        <v>0.79</v>
      </c>
    </row>
    <row r="3" spans="1:15" x14ac:dyDescent="0.25">
      <c r="A3" t="s">
        <v>102</v>
      </c>
      <c r="B3" t="s">
        <v>11</v>
      </c>
      <c r="C3" s="1">
        <v>46207</v>
      </c>
      <c r="D3">
        <v>54</v>
      </c>
      <c r="E3">
        <v>509</v>
      </c>
      <c r="F3">
        <v>54</v>
      </c>
      <c r="G3">
        <v>509</v>
      </c>
      <c r="H3">
        <f>ROUND(E3/D3,2)</f>
        <v>9.43</v>
      </c>
      <c r="I3">
        <f>ROUND(G3/F3,2)</f>
        <v>9.43</v>
      </c>
      <c r="J3">
        <f>F3-IFERROR(VLOOKUP($A3,'0704'!$A$1:G50,6,FALSE),IFERROR(VLOOKUP($C3,'0704'!$C$1:G50,4,FALSE),F3-D3))</f>
        <v>54</v>
      </c>
      <c r="K3">
        <f>G3-IFERROR(VLOOKUP($A3,'0704'!$A$1:H50,7,FALSE),IFERROR(VLOOKUP($C3,'0704'!$C$1:H50,5,FALSE),G3-E3))</f>
        <v>509</v>
      </c>
      <c r="L3">
        <f>IFERROR(ROUND(K3/J3,2),)</f>
        <v>9.43</v>
      </c>
    </row>
    <row r="4" spans="1:15" x14ac:dyDescent="0.25">
      <c r="A4" t="s">
        <v>81</v>
      </c>
      <c r="B4" t="s">
        <v>13</v>
      </c>
      <c r="C4" s="1">
        <v>46205</v>
      </c>
      <c r="D4">
        <v>2280</v>
      </c>
      <c r="E4">
        <v>212</v>
      </c>
      <c r="F4">
        <v>2280</v>
      </c>
      <c r="G4">
        <v>212</v>
      </c>
      <c r="H4">
        <f>ROUND(E4/D4,2)</f>
        <v>0.09</v>
      </c>
      <c r="I4">
        <f>ROUND(G4/F4,2)</f>
        <v>0.09</v>
      </c>
      <c r="J4">
        <f>F4-IFERROR(VLOOKUP($A4,'0704'!$A$1:G51,6,FALSE),IFERROR(VLOOKUP($C4,'0704'!$C$1:G51,4,FALSE),F4-D4))</f>
        <v>98</v>
      </c>
      <c r="K4">
        <f>G4-IFERROR(VLOOKUP($A4,'0704'!$A$1:H51,7,FALSE),IFERROR(VLOOKUP($C4,'0704'!$C$1:H51,5,FALSE),G4-E4))</f>
        <v>37</v>
      </c>
      <c r="L4">
        <f>IFERROR(ROUND(K4/J4,2),)</f>
        <v>0.38</v>
      </c>
    </row>
    <row r="5" spans="1:15" x14ac:dyDescent="0.25">
      <c r="A5" t="s">
        <v>82</v>
      </c>
      <c r="B5" t="s">
        <v>11</v>
      </c>
      <c r="C5" s="1">
        <v>46205</v>
      </c>
      <c r="D5">
        <v>671</v>
      </c>
      <c r="E5">
        <v>1129</v>
      </c>
      <c r="F5">
        <v>671</v>
      </c>
      <c r="G5">
        <v>1129</v>
      </c>
      <c r="H5">
        <f>ROUND(E5/D5,2)</f>
        <v>1.68</v>
      </c>
      <c r="I5">
        <f>ROUND(G5/F5,2)</f>
        <v>1.68</v>
      </c>
      <c r="J5">
        <f>F5-IFERROR(VLOOKUP($A5,'0704'!$A$1:G52,6,FALSE),IFERROR(VLOOKUP($C5,'0704'!$C$1:G52,4,FALSE),F5-D5))</f>
        <v>151</v>
      </c>
      <c r="K5">
        <f>G5-IFERROR(VLOOKUP($A5,'0704'!$A$1:H52,7,FALSE),IFERROR(VLOOKUP($C5,'0704'!$C$1:H52,5,FALSE),G5-E5))</f>
        <v>138</v>
      </c>
      <c r="L5">
        <f>IFERROR(ROUND(K5/J5,2),)</f>
        <v>0.91</v>
      </c>
    </row>
    <row r="6" spans="1:15" x14ac:dyDescent="0.25">
      <c r="A6" t="s">
        <v>75</v>
      </c>
      <c r="B6" t="s">
        <v>13</v>
      </c>
      <c r="C6" s="1">
        <v>46204</v>
      </c>
      <c r="D6">
        <v>588</v>
      </c>
      <c r="E6">
        <v>255</v>
      </c>
      <c r="F6">
        <v>588</v>
      </c>
      <c r="G6">
        <v>255</v>
      </c>
      <c r="H6">
        <f>ROUND(E6/D6,2)</f>
        <v>0.43</v>
      </c>
      <c r="I6">
        <f>ROUND(G6/F6,2)</f>
        <v>0.43</v>
      </c>
      <c r="J6">
        <f>F6-IFERROR(VLOOKUP($A6,'0704'!$A$1:G53,6,FALSE),IFERROR(VLOOKUP($C6,'0704'!$C$1:G53,4,FALSE),F6-D6))</f>
        <v>56</v>
      </c>
      <c r="K6">
        <f>G6-IFERROR(VLOOKUP($A6,'0704'!$A$1:H53,7,FALSE),IFERROR(VLOOKUP($C6,'0704'!$C$1:H53,5,FALSE),G6-E6))</f>
        <v>14</v>
      </c>
      <c r="L6">
        <f>IFERROR(ROUND(K6/J6,2),)</f>
        <v>0.25</v>
      </c>
    </row>
    <row r="7" spans="1:15" x14ac:dyDescent="0.25">
      <c r="A7" t="s">
        <v>76</v>
      </c>
      <c r="B7" t="s">
        <v>11</v>
      </c>
      <c r="C7" s="1">
        <v>46204</v>
      </c>
      <c r="D7">
        <v>159</v>
      </c>
      <c r="E7">
        <v>332</v>
      </c>
      <c r="F7">
        <v>159</v>
      </c>
      <c r="G7">
        <v>332</v>
      </c>
      <c r="H7">
        <f>ROUND(E7/D7,2)</f>
        <v>2.09</v>
      </c>
      <c r="I7">
        <f>ROUND(G7/F7,2)</f>
        <v>2.09</v>
      </c>
      <c r="J7">
        <f>F7-IFERROR(VLOOKUP($A7,'0704'!$A$1:G54,6,FALSE),IFERROR(VLOOKUP($C7,'0704'!$C$1:G54,4,FALSE),F7-D7))</f>
        <v>10</v>
      </c>
      <c r="K7">
        <f>G7-IFERROR(VLOOKUP($A7,'0704'!$A$1:H54,7,FALSE),IFERROR(VLOOKUP($C7,'0704'!$C$1:H54,5,FALSE),G7-E7))</f>
        <v>15</v>
      </c>
      <c r="L7">
        <f>IFERROR(ROUND(K7/J7,2),)</f>
        <v>1.5</v>
      </c>
    </row>
    <row r="8" spans="1:15" x14ac:dyDescent="0.25">
      <c r="A8" t="s">
        <v>10</v>
      </c>
      <c r="B8" t="s">
        <v>11</v>
      </c>
      <c r="C8" s="1">
        <v>46203</v>
      </c>
      <c r="D8">
        <v>89</v>
      </c>
      <c r="E8">
        <v>689</v>
      </c>
      <c r="F8">
        <v>89</v>
      </c>
      <c r="G8">
        <v>689</v>
      </c>
      <c r="H8">
        <f>ROUND(E8/D8,2)</f>
        <v>7.74</v>
      </c>
      <c r="I8">
        <f>ROUND(G8/F8,2)</f>
        <v>7.74</v>
      </c>
      <c r="J8">
        <f>F8-IFERROR(VLOOKUP($A8,'0704'!$A$1:G55,6,FALSE),IFERROR(VLOOKUP($C8,'0704'!$C$1:G55,4,FALSE),F8-D8))</f>
        <v>9</v>
      </c>
      <c r="K8">
        <f>G8-IFERROR(VLOOKUP($A8,'0704'!$A$1:H55,7,FALSE),IFERROR(VLOOKUP($C8,'0704'!$C$1:H55,5,FALSE),G8-E8))</f>
        <v>34</v>
      </c>
      <c r="L8">
        <f>IFERROR(ROUND(K8/J8,2),)</f>
        <v>3.78</v>
      </c>
    </row>
    <row r="9" spans="1:15" x14ac:dyDescent="0.25">
      <c r="A9" t="s">
        <v>12</v>
      </c>
      <c r="B9" t="s">
        <v>13</v>
      </c>
      <c r="C9" s="1">
        <v>46203</v>
      </c>
      <c r="D9">
        <v>873</v>
      </c>
      <c r="E9">
        <v>114</v>
      </c>
      <c r="F9">
        <v>873</v>
      </c>
      <c r="G9">
        <v>114</v>
      </c>
      <c r="H9">
        <f>ROUND(E9/D9,2)</f>
        <v>0.13</v>
      </c>
      <c r="I9">
        <f>ROUND(G9/F9,2)</f>
        <v>0.13</v>
      </c>
      <c r="J9">
        <f>F9-IFERROR(VLOOKUP($A9,'0704'!$A$1:G56,6,FALSE),IFERROR(VLOOKUP($C9,'0704'!$C$1:G56,4,FALSE),F9-D9))</f>
        <v>47</v>
      </c>
      <c r="K9">
        <f>G9-IFERROR(VLOOKUP($A9,'0704'!$A$1:H56,7,FALSE),IFERROR(VLOOKUP($C9,'0704'!$C$1:H56,5,FALSE),G9-E9))</f>
        <v>0</v>
      </c>
      <c r="L9">
        <f>IFERROR(ROUND(K9/J9,2),)</f>
        <v>0</v>
      </c>
    </row>
    <row r="10" spans="1:15" x14ac:dyDescent="0.25">
      <c r="A10" t="s">
        <v>14</v>
      </c>
      <c r="B10" t="s">
        <v>11</v>
      </c>
      <c r="C10" s="1">
        <v>46202</v>
      </c>
      <c r="D10">
        <v>108</v>
      </c>
      <c r="E10">
        <v>1004</v>
      </c>
      <c r="F10">
        <v>108</v>
      </c>
      <c r="G10">
        <v>1004</v>
      </c>
      <c r="H10">
        <f>ROUND(E10/D10,2)</f>
        <v>9.3000000000000007</v>
      </c>
      <c r="I10">
        <f>ROUND(G10/F10,2)</f>
        <v>9.3000000000000007</v>
      </c>
      <c r="J10">
        <f>F10-IFERROR(VLOOKUP($A10,'0704'!$A$1:G57,6,FALSE),IFERROR(VLOOKUP($C10,'0704'!$C$1:G57,4,FALSE),F10-D10))</f>
        <v>4</v>
      </c>
      <c r="K10">
        <f>G10-IFERROR(VLOOKUP($A10,'0704'!$A$1:H57,7,FALSE),IFERROR(VLOOKUP($C10,'0704'!$C$1:H57,5,FALSE),G10-E10))</f>
        <v>86</v>
      </c>
      <c r="L10">
        <f>IFERROR(ROUND(K10/J10,2),)</f>
        <v>21.5</v>
      </c>
      <c r="M10" t="s">
        <v>83</v>
      </c>
    </row>
    <row r="11" spans="1:15" x14ac:dyDescent="0.25">
      <c r="A11" t="s">
        <v>15</v>
      </c>
      <c r="B11" t="s">
        <v>13</v>
      </c>
      <c r="C11" s="1">
        <v>46202</v>
      </c>
      <c r="D11">
        <v>514</v>
      </c>
      <c r="E11">
        <v>205</v>
      </c>
      <c r="F11">
        <v>514</v>
      </c>
      <c r="G11">
        <v>205</v>
      </c>
      <c r="H11">
        <f>ROUND(E11/D11,2)</f>
        <v>0.4</v>
      </c>
      <c r="I11">
        <f>ROUND(G11/F11,2)</f>
        <v>0.4</v>
      </c>
      <c r="J11">
        <f>F11-IFERROR(VLOOKUP($A11,'0704'!$A$1:G58,6,FALSE),IFERROR(VLOOKUP($C11,'0704'!$C$1:G58,4,FALSE),F11-D11))</f>
        <v>12</v>
      </c>
      <c r="K11">
        <f>G11-IFERROR(VLOOKUP($A11,'0704'!$A$1:H58,7,FALSE),IFERROR(VLOOKUP($C11,'0704'!$C$1:H58,5,FALSE),G11-E11))</f>
        <v>0</v>
      </c>
      <c r="L11">
        <f>IFERROR(ROUND(K11/J11,2),)</f>
        <v>0</v>
      </c>
    </row>
    <row r="12" spans="1:15" x14ac:dyDescent="0.25">
      <c r="A12" t="s">
        <v>16</v>
      </c>
      <c r="B12" t="s">
        <v>13</v>
      </c>
      <c r="C12" s="1">
        <v>46201</v>
      </c>
      <c r="D12">
        <v>442</v>
      </c>
      <c r="E12">
        <v>310</v>
      </c>
      <c r="F12">
        <v>442</v>
      </c>
      <c r="G12">
        <v>310</v>
      </c>
      <c r="H12">
        <f>ROUND(E12/D12,2)</f>
        <v>0.7</v>
      </c>
      <c r="I12">
        <f>ROUND(G12/F12,2)</f>
        <v>0.7</v>
      </c>
      <c r="J12">
        <f>F12-IFERROR(VLOOKUP($A12,'0704'!$A$1:G59,6,FALSE),IFERROR(VLOOKUP($C12,'0704'!$C$1:G59,4,FALSE),F12-D12))</f>
        <v>16</v>
      </c>
      <c r="K12">
        <f>G12-IFERROR(VLOOKUP($A12,'0704'!$A$1:H59,7,FALSE),IFERROR(VLOOKUP($C12,'0704'!$C$1:H59,5,FALSE),G12-E12))</f>
        <v>0</v>
      </c>
      <c r="L12">
        <f>IFERROR(ROUND(K12/J12,2),)</f>
        <v>0</v>
      </c>
    </row>
    <row r="13" spans="1:15" x14ac:dyDescent="0.25">
      <c r="A13" t="s">
        <v>17</v>
      </c>
      <c r="B13" t="s">
        <v>11</v>
      </c>
      <c r="C13" s="1">
        <v>46201</v>
      </c>
      <c r="D13">
        <v>328</v>
      </c>
      <c r="E13">
        <v>967</v>
      </c>
      <c r="F13">
        <v>328</v>
      </c>
      <c r="G13">
        <v>967</v>
      </c>
      <c r="H13">
        <f>ROUND(E13/D13,2)</f>
        <v>2.95</v>
      </c>
      <c r="I13">
        <f>ROUND(G13/F13,2)</f>
        <v>2.95</v>
      </c>
      <c r="J13">
        <f>F13-IFERROR(VLOOKUP($A13,'0704'!$A$1:G60,6,FALSE),IFERROR(VLOOKUP($C13,'0704'!$C$1:G60,4,FALSE),F13-D13))</f>
        <v>5</v>
      </c>
      <c r="K13">
        <f>G13-IFERROR(VLOOKUP($A13,'0704'!$A$1:H60,7,FALSE),IFERROR(VLOOKUP($C13,'0704'!$C$1:H60,5,FALSE),G13-E13))</f>
        <v>0</v>
      </c>
      <c r="L13">
        <f>IFERROR(ROUND(K13/J13,2),)</f>
        <v>0</v>
      </c>
    </row>
    <row r="14" spans="1:15" x14ac:dyDescent="0.25">
      <c r="A14" t="s">
        <v>18</v>
      </c>
      <c r="B14" t="s">
        <v>11</v>
      </c>
      <c r="C14" s="1">
        <v>46200</v>
      </c>
      <c r="D14">
        <v>154</v>
      </c>
      <c r="E14">
        <v>437</v>
      </c>
      <c r="F14">
        <v>168</v>
      </c>
      <c r="G14">
        <v>549</v>
      </c>
      <c r="H14">
        <f>ROUND(E14/D14,2)</f>
        <v>2.84</v>
      </c>
      <c r="I14">
        <f>ROUND(G14/F14,2)</f>
        <v>3.27</v>
      </c>
      <c r="J14">
        <f>F14-IFERROR(VLOOKUP($A14,'0704'!$A$1:G61,6,FALSE),IFERROR(VLOOKUP($C14,'0704'!$C$1:G61,4,FALSE),F14-D14))</f>
        <v>9</v>
      </c>
      <c r="K14">
        <f>G14-IFERROR(VLOOKUP($A14,'0704'!$A$1:H61,7,FALSE),IFERROR(VLOOKUP($C14,'0704'!$C$1:H61,5,FALSE),G14-E14))</f>
        <v>6</v>
      </c>
      <c r="L14">
        <f>IFERROR(ROUND(K14/J14,2),)</f>
        <v>0.67</v>
      </c>
    </row>
    <row r="15" spans="1:15" x14ac:dyDescent="0.25">
      <c r="A15" t="s">
        <v>19</v>
      </c>
      <c r="B15" t="s">
        <v>11</v>
      </c>
      <c r="C15" s="1">
        <v>46199</v>
      </c>
      <c r="D15">
        <v>44</v>
      </c>
      <c r="E15">
        <v>114</v>
      </c>
      <c r="F15">
        <v>121</v>
      </c>
      <c r="G15">
        <v>430</v>
      </c>
      <c r="H15">
        <f>ROUND(E15/D15,2)</f>
        <v>2.59</v>
      </c>
      <c r="I15">
        <f>ROUND(G15/F15,2)</f>
        <v>3.55</v>
      </c>
      <c r="J15">
        <f>F15-IFERROR(VLOOKUP($A15,'0704'!$A$1:G62,6,FALSE),IFERROR(VLOOKUP($C15,'0704'!$C$1:G62,4,FALSE),F15-D15))</f>
        <v>1</v>
      </c>
      <c r="K15">
        <f>G15-IFERROR(VLOOKUP($A15,'0704'!$A$1:H62,7,FALSE),IFERROR(VLOOKUP($C15,'0704'!$C$1:H62,5,FALSE),G15-E15))</f>
        <v>0</v>
      </c>
      <c r="L15">
        <f>IFERROR(ROUND(K15/J15,2),)</f>
        <v>0</v>
      </c>
    </row>
    <row r="16" spans="1:15" x14ac:dyDescent="0.25">
      <c r="A16" t="s">
        <v>21</v>
      </c>
      <c r="B16" t="s">
        <v>11</v>
      </c>
      <c r="C16" s="1">
        <v>46198</v>
      </c>
      <c r="D16">
        <v>86</v>
      </c>
      <c r="E16">
        <v>352</v>
      </c>
      <c r="F16">
        <v>215</v>
      </c>
      <c r="G16">
        <v>1454</v>
      </c>
      <c r="H16">
        <f>ROUND(E16/D16,2)</f>
        <v>4.09</v>
      </c>
      <c r="I16">
        <f>ROUND(G16/F16,2)</f>
        <v>6.76</v>
      </c>
      <c r="J16">
        <f>F16-IFERROR(VLOOKUP($A16,'0704'!$A$1:G63,6,FALSE),IFERROR(VLOOKUP($C16,'0704'!$C$1:G63,4,FALSE),F16-D16))</f>
        <v>7</v>
      </c>
      <c r="K16">
        <f>G16-IFERROR(VLOOKUP($A16,'0704'!$A$1:H63,7,FALSE),IFERROR(VLOOKUP($C16,'0704'!$C$1:H63,5,FALSE),G16-E16))</f>
        <v>17</v>
      </c>
      <c r="L16">
        <f>IFERROR(ROUND(K16/J16,2),)</f>
        <v>2.4300000000000002</v>
      </c>
    </row>
    <row r="17" spans="1:15" x14ac:dyDescent="0.25">
      <c r="A17" t="s">
        <v>22</v>
      </c>
      <c r="B17" t="s">
        <v>11</v>
      </c>
      <c r="C17" s="1">
        <v>46197</v>
      </c>
      <c r="D17">
        <v>50</v>
      </c>
      <c r="E17">
        <v>234</v>
      </c>
      <c r="F17">
        <v>126</v>
      </c>
      <c r="G17">
        <v>650</v>
      </c>
      <c r="H17">
        <f>ROUND(E17/D17,2)</f>
        <v>4.68</v>
      </c>
      <c r="I17">
        <f>ROUND(G17/F17,2)</f>
        <v>5.16</v>
      </c>
      <c r="J17">
        <f>F17-IFERROR(VLOOKUP($A17,'0704'!$A$1:G64,6,FALSE),IFERROR(VLOOKUP($C17,'0704'!$C$1:G64,4,FALSE),F17-D17))</f>
        <v>4</v>
      </c>
      <c r="K17">
        <f>G17-IFERROR(VLOOKUP($A17,'0704'!$A$1:H64,7,FALSE),IFERROR(VLOOKUP($C17,'0704'!$C$1:H64,5,FALSE),G17-E17))</f>
        <v>0</v>
      </c>
      <c r="L17">
        <f>IFERROR(ROUND(K17/J17,2),)</f>
        <v>0</v>
      </c>
      <c r="M17" t="s">
        <v>23</v>
      </c>
      <c r="N17" t="s">
        <v>77</v>
      </c>
    </row>
    <row r="18" spans="1:15" x14ac:dyDescent="0.25">
      <c r="A18" t="s">
        <v>24</v>
      </c>
      <c r="B18" t="s">
        <v>13</v>
      </c>
      <c r="C18" s="1">
        <v>46196</v>
      </c>
      <c r="D18">
        <v>72</v>
      </c>
      <c r="E18">
        <v>10</v>
      </c>
      <c r="F18">
        <v>932</v>
      </c>
      <c r="G18">
        <v>281</v>
      </c>
      <c r="H18">
        <f>ROUND(E18/D18,2)</f>
        <v>0.14000000000000001</v>
      </c>
      <c r="I18">
        <f>ROUND(G18/F18,2)</f>
        <v>0.3</v>
      </c>
      <c r="J18">
        <f>F18-IFERROR(VLOOKUP($A18,'0704'!$A$1:G65,6,FALSE),IFERROR(VLOOKUP($C18,'0704'!$C$1:G65,4,FALSE),F18-D18))</f>
        <v>10</v>
      </c>
      <c r="K18">
        <f>G18-IFERROR(VLOOKUP($A18,'0704'!$A$1:H65,7,FALSE),IFERROR(VLOOKUP($C18,'0704'!$C$1:H65,5,FALSE),G18-E18))</f>
        <v>0</v>
      </c>
      <c r="L18">
        <f>IFERROR(ROUND(K18/J18,2),)</f>
        <v>0</v>
      </c>
    </row>
    <row r="19" spans="1:15" x14ac:dyDescent="0.25">
      <c r="A19" t="s">
        <v>25</v>
      </c>
      <c r="B19" t="s">
        <v>11</v>
      </c>
      <c r="C19" s="1">
        <v>46196</v>
      </c>
      <c r="D19">
        <v>61</v>
      </c>
      <c r="E19">
        <v>279</v>
      </c>
      <c r="F19">
        <v>199</v>
      </c>
      <c r="G19">
        <v>1399</v>
      </c>
      <c r="H19">
        <f>ROUND(E19/D19,2)</f>
        <v>4.57</v>
      </c>
      <c r="I19">
        <f>ROUND(G19/F19,2)</f>
        <v>7.03</v>
      </c>
      <c r="J19">
        <f>F19-IFERROR(VLOOKUP($A19,'0704'!$A$1:G66,6,FALSE),IFERROR(VLOOKUP($C19,'0704'!$C$1:G66,4,FALSE),F19-D19))</f>
        <v>4</v>
      </c>
      <c r="K19">
        <f>G19-IFERROR(VLOOKUP($A19,'0704'!$A$1:H66,7,FALSE),IFERROR(VLOOKUP($C19,'0704'!$C$1:H66,5,FALSE),G19-E19))</f>
        <v>34</v>
      </c>
      <c r="L19">
        <f>IFERROR(ROUND(K19/J19,2),)</f>
        <v>8.5</v>
      </c>
      <c r="M19" t="s">
        <v>78</v>
      </c>
    </row>
    <row r="20" spans="1:15" x14ac:dyDescent="0.25">
      <c r="A20" t="s">
        <v>26</v>
      </c>
      <c r="B20" t="s">
        <v>11</v>
      </c>
      <c r="C20" s="1">
        <v>46195</v>
      </c>
      <c r="D20">
        <v>62</v>
      </c>
      <c r="E20">
        <v>329</v>
      </c>
      <c r="F20">
        <v>152</v>
      </c>
      <c r="G20">
        <v>730</v>
      </c>
      <c r="H20">
        <f>ROUND(E20/D20,2)</f>
        <v>5.31</v>
      </c>
      <c r="I20">
        <f>ROUND(G20/F20,2)</f>
        <v>4.8</v>
      </c>
      <c r="J20">
        <f>F20-IFERROR(VLOOKUP($A20,'0704'!$A$1:G67,6,FALSE),IFERROR(VLOOKUP($C20,'0704'!$C$1:G67,4,FALSE),F20-D20))</f>
        <v>0</v>
      </c>
      <c r="K20">
        <f>G20-IFERROR(VLOOKUP($A20,'0704'!$A$1:H67,7,FALSE),IFERROR(VLOOKUP($C20,'0704'!$C$1:H67,5,FALSE),G20-E20))</f>
        <v>0</v>
      </c>
      <c r="L20">
        <f>IFERROR(ROUND(K20/J20,2),)</f>
        <v>0</v>
      </c>
      <c r="M20" t="s">
        <v>27</v>
      </c>
      <c r="N20" t="s">
        <v>84</v>
      </c>
    </row>
    <row r="21" spans="1:15" x14ac:dyDescent="0.25">
      <c r="A21" t="s">
        <v>28</v>
      </c>
      <c r="B21" t="s">
        <v>11</v>
      </c>
      <c r="C21" s="1">
        <v>46194</v>
      </c>
      <c r="D21">
        <v>13</v>
      </c>
      <c r="E21">
        <v>95</v>
      </c>
      <c r="F21">
        <v>154</v>
      </c>
      <c r="G21">
        <v>1024</v>
      </c>
      <c r="H21">
        <f>ROUND(E21/D21,2)</f>
        <v>7.31</v>
      </c>
      <c r="I21">
        <f>ROUND(G21/F21,2)</f>
        <v>6.65</v>
      </c>
      <c r="J21">
        <f>F21-IFERROR(VLOOKUP($A21,'0704'!$A$1:G68,6,FALSE),IFERROR(VLOOKUP($C21,'0704'!$C$1:G68,4,FALSE),F21-D21))</f>
        <v>0</v>
      </c>
      <c r="K21">
        <f>G21-IFERROR(VLOOKUP($A21,'0704'!$A$1:H68,7,FALSE),IFERROR(VLOOKUP($C21,'0704'!$C$1:H68,5,FALSE),G21-E21))</f>
        <v>0</v>
      </c>
      <c r="L21">
        <f>IFERROR(ROUND(K21/J21,2),)</f>
        <v>0</v>
      </c>
      <c r="M21" t="s">
        <v>29</v>
      </c>
      <c r="N21" t="s">
        <v>30</v>
      </c>
    </row>
    <row r="22" spans="1:15" x14ac:dyDescent="0.25">
      <c r="A22" t="s">
        <v>31</v>
      </c>
      <c r="B22" t="s">
        <v>32</v>
      </c>
      <c r="C22" s="1">
        <v>46193</v>
      </c>
      <c r="D22">
        <v>17</v>
      </c>
      <c r="E22">
        <v>5</v>
      </c>
      <c r="F22">
        <v>149</v>
      </c>
      <c r="G22">
        <v>114</v>
      </c>
      <c r="H22">
        <f>ROUND(E22/D22,2)</f>
        <v>0.28999999999999998</v>
      </c>
      <c r="I22">
        <f>ROUND(G22/F22,2)</f>
        <v>0.77</v>
      </c>
      <c r="J22">
        <f>F22-IFERROR(VLOOKUP($A22,'0704'!$A$1:G69,6,FALSE),IFERROR(VLOOKUP($C22,'0704'!$C$1:G69,4,FALSE),F22-D22))</f>
        <v>1</v>
      </c>
      <c r="K22">
        <f>G22-IFERROR(VLOOKUP($A22,'0704'!$A$1:H69,7,FALSE),IFERROR(VLOOKUP($C22,'0704'!$C$1:H69,5,FALSE),G22-E22))</f>
        <v>0</v>
      </c>
      <c r="L22">
        <f>IFERROR(ROUND(K22/J22,2),)</f>
        <v>0</v>
      </c>
    </row>
    <row r="23" spans="1:15" x14ac:dyDescent="0.25">
      <c r="A23" t="s">
        <v>33</v>
      </c>
      <c r="B23" t="s">
        <v>11</v>
      </c>
      <c r="C23" s="1">
        <v>46193</v>
      </c>
      <c r="D23">
        <v>51</v>
      </c>
      <c r="E23">
        <v>89</v>
      </c>
      <c r="F23">
        <v>184</v>
      </c>
      <c r="G23">
        <v>1668</v>
      </c>
      <c r="H23">
        <f>ROUND(E23/D23,2)</f>
        <v>1.75</v>
      </c>
      <c r="I23">
        <f>ROUND(G23/F23,2)</f>
        <v>9.07</v>
      </c>
      <c r="J23">
        <f>F23-IFERROR(VLOOKUP($A23,'0704'!$A$1:G70,6,FALSE),IFERROR(VLOOKUP($C23,'0704'!$C$1:G70,4,FALSE),F23-D23))</f>
        <v>23</v>
      </c>
      <c r="K23">
        <f>G23-IFERROR(VLOOKUP($A23,'0704'!$A$1:H70,7,FALSE),IFERROR(VLOOKUP($C23,'0704'!$C$1:H70,5,FALSE),G23-E23))</f>
        <v>0</v>
      </c>
      <c r="L23">
        <f>IFERROR(ROUND(K23/J23,2),)</f>
        <v>0</v>
      </c>
      <c r="M23" t="s">
        <v>34</v>
      </c>
      <c r="N23" t="s">
        <v>35</v>
      </c>
      <c r="O23" t="s">
        <v>85</v>
      </c>
    </row>
    <row r="24" spans="1:15" x14ac:dyDescent="0.25">
      <c r="A24" t="s">
        <v>36</v>
      </c>
      <c r="B24" t="s">
        <v>11</v>
      </c>
      <c r="C24" s="1">
        <v>46192</v>
      </c>
      <c r="D24">
        <v>118</v>
      </c>
      <c r="E24">
        <v>38</v>
      </c>
      <c r="F24">
        <v>2015</v>
      </c>
      <c r="G24">
        <v>1204</v>
      </c>
      <c r="H24">
        <f>ROUND(E24/D24,2)</f>
        <v>0.32</v>
      </c>
      <c r="I24">
        <f>ROUND(G24/F24,2)</f>
        <v>0.6</v>
      </c>
      <c r="J24">
        <f>F24-IFERROR(VLOOKUP($A24,'0704'!$A$1:G71,6,FALSE),IFERROR(VLOOKUP($C24,'0704'!$C$1:G71,4,FALSE),F24-D24))</f>
        <v>2</v>
      </c>
      <c r="K24">
        <f>G24-IFERROR(VLOOKUP($A24,'0704'!$A$1:H71,7,FALSE),IFERROR(VLOOKUP($C24,'0704'!$C$1:H71,5,FALSE),G24-E24))</f>
        <v>0</v>
      </c>
      <c r="L24">
        <f>IFERROR(ROUND(K24/J24,2),)</f>
        <v>0</v>
      </c>
    </row>
    <row r="25" spans="1:15" x14ac:dyDescent="0.25">
      <c r="A25" t="s">
        <v>37</v>
      </c>
      <c r="B25" t="s">
        <v>11</v>
      </c>
      <c r="C25" s="1">
        <v>46191</v>
      </c>
      <c r="D25">
        <v>76</v>
      </c>
      <c r="E25">
        <v>7</v>
      </c>
      <c r="F25">
        <v>390</v>
      </c>
      <c r="G25">
        <v>218</v>
      </c>
      <c r="H25">
        <f>ROUND(E25/D25,2)</f>
        <v>0.09</v>
      </c>
      <c r="I25">
        <f>ROUND(G25/F25,2)</f>
        <v>0.56000000000000005</v>
      </c>
      <c r="J25">
        <f>F25-IFERROR(VLOOKUP($A25,'0704'!$A$1:G72,6,FALSE),IFERROR(VLOOKUP($C25,'0704'!$C$1:G72,4,FALSE),F25-D25))</f>
        <v>5</v>
      </c>
      <c r="K25">
        <f>G25-IFERROR(VLOOKUP($A25,'0704'!$A$1:H72,7,FALSE),IFERROR(VLOOKUP($C25,'0704'!$C$1:H72,5,FALSE),G25-E25))</f>
        <v>0</v>
      </c>
      <c r="L25">
        <f>IFERROR(ROUND(K25/J25,2),)</f>
        <v>0</v>
      </c>
    </row>
    <row r="26" spans="1:15" x14ac:dyDescent="0.25">
      <c r="A26" t="s">
        <v>38</v>
      </c>
      <c r="B26" t="s">
        <v>11</v>
      </c>
      <c r="C26" s="1">
        <v>46190</v>
      </c>
      <c r="D26">
        <v>30</v>
      </c>
      <c r="E26">
        <v>1</v>
      </c>
      <c r="F26">
        <v>701</v>
      </c>
      <c r="G26">
        <v>7</v>
      </c>
      <c r="H26">
        <f>ROUND(E26/D26,2)</f>
        <v>0.03</v>
      </c>
      <c r="I26">
        <f>ROUND(G26/F26,2)</f>
        <v>0.01</v>
      </c>
      <c r="J26">
        <f>F26-IFERROR(VLOOKUP($A26,'0704'!$A$1:G73,6,FALSE),IFERROR(VLOOKUP($C26,'0704'!$C$1:G73,4,FALSE),F26-D26))</f>
        <v>1</v>
      </c>
      <c r="K26">
        <f>G26-IFERROR(VLOOKUP($A26,'0704'!$A$1:H73,7,FALSE),IFERROR(VLOOKUP($C26,'0704'!$C$1:H73,5,FALSE),G26-E26))</f>
        <v>0</v>
      </c>
      <c r="L26">
        <f>IFERROR(ROUND(K26/J26,2),)</f>
        <v>0</v>
      </c>
    </row>
    <row r="27" spans="1:15" x14ac:dyDescent="0.25">
      <c r="A27" t="s">
        <v>39</v>
      </c>
      <c r="B27" t="s">
        <v>11</v>
      </c>
      <c r="C27" s="1">
        <v>46189</v>
      </c>
      <c r="D27">
        <v>15</v>
      </c>
      <c r="E27">
        <v>19</v>
      </c>
      <c r="F27">
        <v>157</v>
      </c>
      <c r="G27">
        <v>941</v>
      </c>
      <c r="H27">
        <f>ROUND(E27/D27,2)</f>
        <v>1.27</v>
      </c>
      <c r="I27">
        <f>ROUND(G27/F27,2)</f>
        <v>5.99</v>
      </c>
      <c r="J27">
        <f>F27-IFERROR(VLOOKUP($A27,'0704'!$A$1:G74,6,FALSE),IFERROR(VLOOKUP($C27,'0704'!$C$1:G74,4,FALSE),F27-D27))</f>
        <v>6</v>
      </c>
      <c r="K27">
        <f>G27-IFERROR(VLOOKUP($A27,'0704'!$A$1:H74,7,FALSE),IFERROR(VLOOKUP($C27,'0704'!$C$1:H74,5,FALSE),G27-E27))</f>
        <v>0</v>
      </c>
      <c r="L27">
        <f>IFERROR(ROUND(K27/J27,2),)</f>
        <v>0</v>
      </c>
      <c r="M27" t="s">
        <v>40</v>
      </c>
      <c r="N27" t="s">
        <v>41</v>
      </c>
      <c r="O27" t="s">
        <v>42</v>
      </c>
    </row>
    <row r="28" spans="1:15" x14ac:dyDescent="0.25">
      <c r="A28" t="s">
        <v>86</v>
      </c>
      <c r="B28" t="s">
        <v>11</v>
      </c>
      <c r="C28" s="1">
        <v>46188</v>
      </c>
      <c r="D28">
        <v>20</v>
      </c>
      <c r="E28">
        <v>7</v>
      </c>
      <c r="F28">
        <v>62</v>
      </c>
      <c r="G28">
        <v>73</v>
      </c>
      <c r="H28">
        <f>ROUND(E28/D28,2)</f>
        <v>0.35</v>
      </c>
      <c r="I28">
        <f>ROUND(G28/F28,2)</f>
        <v>1.18</v>
      </c>
      <c r="J28">
        <f>F28-IFERROR(VLOOKUP($A28,'0704'!$A$1:G75,6,FALSE),IFERROR(VLOOKUP($C28,'0704'!$C$1:G75,4,FALSE),F28-D28))</f>
        <v>1</v>
      </c>
      <c r="K28">
        <f>G28-IFERROR(VLOOKUP($A28,'0704'!$A$1:H75,7,FALSE),IFERROR(VLOOKUP($C28,'0704'!$C$1:H75,5,FALSE),G28-E28))</f>
        <v>0</v>
      </c>
      <c r="L28">
        <f>IFERROR(ROUND(K28/J28,2),)</f>
        <v>0</v>
      </c>
    </row>
    <row r="29" spans="1:15" x14ac:dyDescent="0.25">
      <c r="A29" t="s">
        <v>43</v>
      </c>
      <c r="B29" t="s">
        <v>11</v>
      </c>
      <c r="C29" s="1">
        <v>46187</v>
      </c>
      <c r="D29">
        <v>203</v>
      </c>
      <c r="E29">
        <v>132</v>
      </c>
      <c r="F29">
        <v>11112</v>
      </c>
      <c r="G29">
        <v>834</v>
      </c>
      <c r="H29">
        <f>ROUND(E29/D29,2)</f>
        <v>0.65</v>
      </c>
      <c r="I29">
        <f>ROUND(G29/F29,2)</f>
        <v>0.08</v>
      </c>
      <c r="J29">
        <f>F29-IFERROR(VLOOKUP($A29,'0704'!$A$1:G76,6,FALSE),IFERROR(VLOOKUP($C29,'0704'!$C$1:G76,4,FALSE),F29-D29))</f>
        <v>16</v>
      </c>
      <c r="K29">
        <f>G29-IFERROR(VLOOKUP($A29,'0704'!$A$1:H76,7,FALSE),IFERROR(VLOOKUP($C29,'0704'!$C$1:H76,5,FALSE),G29-E29))</f>
        <v>25</v>
      </c>
      <c r="L29">
        <f>IFERROR(ROUND(K29/J29,2),)</f>
        <v>1.56</v>
      </c>
    </row>
    <row r="30" spans="1:15" x14ac:dyDescent="0.25">
      <c r="A30" t="s">
        <v>47</v>
      </c>
      <c r="B30" t="s">
        <v>11</v>
      </c>
      <c r="C30" s="1">
        <v>46182</v>
      </c>
      <c r="D30">
        <v>3</v>
      </c>
      <c r="E30">
        <v>22</v>
      </c>
      <c r="F30">
        <v>122</v>
      </c>
      <c r="G30">
        <v>284</v>
      </c>
      <c r="H30">
        <f>ROUND(E30/D30,2)</f>
        <v>7.33</v>
      </c>
      <c r="I30">
        <f>ROUND(G30/F30,2)</f>
        <v>2.33</v>
      </c>
      <c r="J30">
        <f>F30-IFERROR(VLOOKUP($A30,'0704'!$A$1:G77,6,FALSE),IFERROR(VLOOKUP($C30,'0704'!$C$1:G77,4,FALSE),F30-D30))</f>
        <v>0</v>
      </c>
      <c r="K30">
        <f>G30-IFERROR(VLOOKUP($A30,'0704'!$A$1:H77,7,FALSE),IFERROR(VLOOKUP($C30,'0704'!$C$1:H77,5,FALSE),G30-E30))</f>
        <v>0</v>
      </c>
      <c r="L30">
        <f>IFERROR(ROUND(K30/J30,2),)</f>
        <v>0</v>
      </c>
    </row>
    <row r="31" spans="1:15" x14ac:dyDescent="0.25">
      <c r="A31" t="s">
        <v>48</v>
      </c>
      <c r="B31" t="s">
        <v>11</v>
      </c>
      <c r="C31" s="1">
        <v>46177</v>
      </c>
      <c r="D31">
        <v>16</v>
      </c>
      <c r="E31">
        <v>19</v>
      </c>
      <c r="F31">
        <v>346</v>
      </c>
      <c r="G31">
        <v>665</v>
      </c>
      <c r="H31">
        <f>ROUND(E31/D31,2)</f>
        <v>1.19</v>
      </c>
      <c r="I31">
        <f>ROUND(G31/F31,2)</f>
        <v>1.92</v>
      </c>
      <c r="J31">
        <f>F31-IFERROR(VLOOKUP($A31,'0704'!$A$1:G78,6,FALSE),IFERROR(VLOOKUP($C31,'0704'!$C$1:G78,4,FALSE),F31-D31))</f>
        <v>0</v>
      </c>
      <c r="K31">
        <f>G31-IFERROR(VLOOKUP($A31,'0704'!$A$1:H78,7,FALSE),IFERROR(VLOOKUP($C31,'0704'!$C$1:H78,5,FALSE),G31-E31))</f>
        <v>0</v>
      </c>
      <c r="L31">
        <f>IFERROR(ROUND(K31/J31,2),)</f>
        <v>0</v>
      </c>
    </row>
    <row r="32" spans="1:15" x14ac:dyDescent="0.25">
      <c r="A32" t="s">
        <v>52</v>
      </c>
      <c r="B32" t="s">
        <v>11</v>
      </c>
      <c r="C32" s="1">
        <v>46164</v>
      </c>
      <c r="D32">
        <v>35</v>
      </c>
      <c r="E32">
        <v>6</v>
      </c>
      <c r="F32">
        <v>597</v>
      </c>
      <c r="G32">
        <v>240</v>
      </c>
      <c r="H32">
        <f>ROUND(E32/D32,2)</f>
        <v>0.17</v>
      </c>
      <c r="I32">
        <f>ROUND(G32/F32,2)</f>
        <v>0.4</v>
      </c>
      <c r="J32">
        <f>F32-IFERROR(VLOOKUP($A32,'0704'!$A$1:G79,6,FALSE),IFERROR(VLOOKUP($C32,'0704'!$C$1:G79,4,FALSE),F32-D32))</f>
        <v>1</v>
      </c>
      <c r="K32">
        <f>G32-IFERROR(VLOOKUP($A32,'0704'!$A$1:H79,7,FALSE),IFERROR(VLOOKUP($C32,'0704'!$C$1:H79,5,FALSE),G32-E32))</f>
        <v>0</v>
      </c>
      <c r="L32">
        <f>IFERROR(ROUND(K32/J32,2),)</f>
        <v>0</v>
      </c>
    </row>
    <row r="33" spans="1:12" x14ac:dyDescent="0.25">
      <c r="A33" t="s">
        <v>79</v>
      </c>
      <c r="B33" t="s">
        <v>11</v>
      </c>
      <c r="C33" s="1">
        <v>46153</v>
      </c>
      <c r="D33">
        <v>6</v>
      </c>
      <c r="E33">
        <v>5</v>
      </c>
      <c r="F33">
        <v>134</v>
      </c>
      <c r="G33">
        <v>98</v>
      </c>
      <c r="H33">
        <f>ROUND(E33/D33,2)</f>
        <v>0.83</v>
      </c>
      <c r="I33">
        <f>ROUND(G33/F33,2)</f>
        <v>0.73</v>
      </c>
      <c r="J33">
        <f>F33-IFERROR(VLOOKUP($A33,'0704'!$A$1:G80,6,FALSE),IFERROR(VLOOKUP($C33,'0704'!$C$1:G80,4,FALSE),F33-D33))</f>
        <v>0</v>
      </c>
      <c r="K33">
        <f>G33-IFERROR(VLOOKUP($A33,'0704'!$A$1:H80,7,FALSE),IFERROR(VLOOKUP($C33,'0704'!$C$1:H80,5,FALSE),G33-E33))</f>
        <v>0</v>
      </c>
      <c r="L33">
        <f>IFERROR(ROUND(K33/J33,2),)</f>
        <v>0</v>
      </c>
    </row>
    <row r="34" spans="1:12" x14ac:dyDescent="0.25">
      <c r="A34" t="s">
        <v>55</v>
      </c>
      <c r="B34" t="s">
        <v>11</v>
      </c>
      <c r="C34" s="1">
        <v>46129</v>
      </c>
      <c r="D34">
        <v>16</v>
      </c>
      <c r="E34">
        <v>12</v>
      </c>
      <c r="F34">
        <v>407</v>
      </c>
      <c r="G34">
        <v>129</v>
      </c>
      <c r="H34">
        <f>ROUND(E34/D34,2)</f>
        <v>0.75</v>
      </c>
      <c r="I34">
        <f>ROUND(G34/F34,2)</f>
        <v>0.32</v>
      </c>
      <c r="J34">
        <f>F34-IFERROR(VLOOKUP($A34,'0704'!$A$1:G81,6,FALSE),IFERROR(VLOOKUP($C34,'0704'!$C$1:G81,4,FALSE),F34-D34))</f>
        <v>4</v>
      </c>
      <c r="K34">
        <f>G34-IFERROR(VLOOKUP($A34,'0704'!$A$1:H81,7,FALSE),IFERROR(VLOOKUP($C34,'0704'!$C$1:H81,5,FALSE),G34-E34))</f>
        <v>0</v>
      </c>
      <c r="L34">
        <f>IFERROR(ROUND(K34/J34,2),)</f>
        <v>0</v>
      </c>
    </row>
    <row r="35" spans="1:12" x14ac:dyDescent="0.25">
      <c r="A35" t="s">
        <v>103</v>
      </c>
      <c r="B35" t="s">
        <v>11</v>
      </c>
      <c r="C35" s="1">
        <v>46113</v>
      </c>
      <c r="D35">
        <v>16</v>
      </c>
      <c r="E35">
        <v>3</v>
      </c>
      <c r="F35">
        <v>381</v>
      </c>
      <c r="G35">
        <v>178</v>
      </c>
      <c r="H35">
        <f>ROUND(E35/D35,2)</f>
        <v>0.19</v>
      </c>
      <c r="I35">
        <f>ROUND(G35/F35,2)</f>
        <v>0.47</v>
      </c>
      <c r="J35">
        <f>F35-IFERROR(VLOOKUP($A35,'0704'!$A$1:G82,6,FALSE),IFERROR(VLOOKUP($C35,'0704'!$C$1:G82,4,FALSE),F35-D35))</f>
        <v>16</v>
      </c>
      <c r="K35">
        <f>G35-IFERROR(VLOOKUP($A35,'0704'!$A$1:H82,7,FALSE),IFERROR(VLOOKUP($C35,'0704'!$C$1:H82,5,FALSE),G35-E35))</f>
        <v>3</v>
      </c>
      <c r="L35">
        <f>IFERROR(ROUND(K35/J35,2),)</f>
        <v>0.19</v>
      </c>
    </row>
    <row r="36" spans="1:12" x14ac:dyDescent="0.25">
      <c r="A36" t="s">
        <v>87</v>
      </c>
      <c r="B36" t="s">
        <v>11</v>
      </c>
      <c r="C36" s="1">
        <v>46103</v>
      </c>
      <c r="D36">
        <v>5</v>
      </c>
      <c r="E36">
        <v>6</v>
      </c>
      <c r="F36">
        <v>192</v>
      </c>
      <c r="G36">
        <v>115</v>
      </c>
      <c r="H36">
        <f>ROUND(E36/D36,2)</f>
        <v>1.2</v>
      </c>
      <c r="I36">
        <f>ROUND(G36/F36,2)</f>
        <v>0.6</v>
      </c>
      <c r="J36">
        <f>F36-IFERROR(VLOOKUP($A36,'0704'!$A$1:G83,6,FALSE),IFERROR(VLOOKUP($C36,'0704'!$C$1:G83,4,FALSE),F36-D36))</f>
        <v>0</v>
      </c>
      <c r="K36">
        <f>G36-IFERROR(VLOOKUP($A36,'0704'!$A$1:H83,7,FALSE),IFERROR(VLOOKUP($C36,'0704'!$C$1:H83,5,FALSE),G36-E36))</f>
        <v>0</v>
      </c>
      <c r="L36">
        <f>IFERROR(ROUND(K36/J36,2),)</f>
        <v>0</v>
      </c>
    </row>
    <row r="37" spans="1:12" x14ac:dyDescent="0.25">
      <c r="A37" t="s">
        <v>56</v>
      </c>
      <c r="B37" t="s">
        <v>11</v>
      </c>
      <c r="C37" s="1">
        <v>46063</v>
      </c>
      <c r="D37">
        <v>2</v>
      </c>
      <c r="E37">
        <v>9</v>
      </c>
      <c r="F37">
        <v>249</v>
      </c>
      <c r="G37">
        <v>523</v>
      </c>
      <c r="H37">
        <f>ROUND(E37/D37,2)</f>
        <v>4.5</v>
      </c>
      <c r="I37">
        <f>ROUND(G37/F37,2)</f>
        <v>2.1</v>
      </c>
      <c r="J37">
        <f>F37-IFERROR(VLOOKUP($A37,'0704'!$A$1:G84,6,FALSE),IFERROR(VLOOKUP($C37,'0704'!$C$1:G84,4,FALSE),F37-D37))</f>
        <v>1</v>
      </c>
      <c r="K37">
        <f>G37-IFERROR(VLOOKUP($A37,'0704'!$A$1:H84,7,FALSE),IFERROR(VLOOKUP($C37,'0704'!$C$1:H84,5,FALSE),G37-E37))</f>
        <v>0</v>
      </c>
      <c r="L37">
        <f>IFERROR(ROUND(K37/J37,2),)</f>
        <v>0</v>
      </c>
    </row>
    <row r="38" spans="1:12" x14ac:dyDescent="0.25">
      <c r="A38" t="s">
        <v>80</v>
      </c>
      <c r="B38" t="s">
        <v>11</v>
      </c>
      <c r="C38" s="1">
        <v>45995</v>
      </c>
      <c r="D38">
        <v>12</v>
      </c>
      <c r="E38">
        <v>7</v>
      </c>
      <c r="F38">
        <v>4484</v>
      </c>
      <c r="G38">
        <v>1457</v>
      </c>
      <c r="H38">
        <f>ROUND(E38/D38,2)</f>
        <v>0.57999999999999996</v>
      </c>
      <c r="I38">
        <f>ROUND(G38/F38,2)</f>
        <v>0.32</v>
      </c>
      <c r="J38">
        <f>F38-IFERROR(VLOOKUP($A38,'0704'!$A$1:G85,6,FALSE),IFERROR(VLOOKUP($C38,'0704'!$C$1:G85,4,FALSE),F38-D38))</f>
        <v>1</v>
      </c>
      <c r="K38">
        <f>G38-IFERROR(VLOOKUP($A38,'0704'!$A$1:H85,7,FALSE),IFERROR(VLOOKUP($C38,'0704'!$C$1:H85,5,FALSE),G38-E38))</f>
        <v>0</v>
      </c>
      <c r="L38">
        <f>IFERROR(ROUND(K38/J38,2),)</f>
        <v>0</v>
      </c>
    </row>
    <row r="39" spans="1:12" x14ac:dyDescent="0.25">
      <c r="A39" t="s">
        <v>88</v>
      </c>
      <c r="B39" t="s">
        <v>11</v>
      </c>
      <c r="C39" s="1">
        <v>45990</v>
      </c>
      <c r="D39">
        <v>26</v>
      </c>
      <c r="E39">
        <v>1</v>
      </c>
      <c r="F39">
        <v>1107</v>
      </c>
      <c r="G39">
        <v>1170</v>
      </c>
      <c r="H39">
        <f>ROUND(E39/D39,2)</f>
        <v>0.04</v>
      </c>
      <c r="I39">
        <f>ROUND(G39/F39,2)</f>
        <v>1.06</v>
      </c>
      <c r="J39">
        <f>F39-IFERROR(VLOOKUP($A39,'0704'!$A$1:G86,6,FALSE),IFERROR(VLOOKUP($C39,'0704'!$C$1:G86,4,FALSE),F39-D39))</f>
        <v>1</v>
      </c>
      <c r="K39">
        <f>G39-IFERROR(VLOOKUP($A39,'0704'!$A$1:H86,7,FALSE),IFERROR(VLOOKUP($C39,'0704'!$C$1:H86,5,FALSE),G39-E39))</f>
        <v>0</v>
      </c>
      <c r="L39">
        <f>IFERROR(ROUND(K39/J39,2),)</f>
        <v>0</v>
      </c>
    </row>
    <row r="40" spans="1:12" x14ac:dyDescent="0.25">
      <c r="A40" t="s">
        <v>61</v>
      </c>
      <c r="B40" t="s">
        <v>11</v>
      </c>
      <c r="C40" s="1">
        <v>45982</v>
      </c>
      <c r="D40">
        <v>33</v>
      </c>
      <c r="E40">
        <v>3</v>
      </c>
      <c r="F40">
        <v>340</v>
      </c>
      <c r="G40">
        <v>940</v>
      </c>
      <c r="H40">
        <f>ROUND(E40/D40,2)</f>
        <v>0.09</v>
      </c>
      <c r="I40">
        <f>ROUND(G40/F40,2)</f>
        <v>2.76</v>
      </c>
      <c r="J40">
        <f>F40-IFERROR(VLOOKUP($A40,'0704'!$A$1:G87,6,FALSE),IFERROR(VLOOKUP($C40,'0704'!$C$1:G87,4,FALSE),F40-D40))</f>
        <v>0</v>
      </c>
      <c r="K40">
        <f>G40-IFERROR(VLOOKUP($A40,'0704'!$A$1:H87,7,FALSE),IFERROR(VLOOKUP($C40,'0704'!$C$1:H87,5,FALSE),G40-E40))</f>
        <v>0</v>
      </c>
      <c r="L40">
        <f>IFERROR(ROUND(K40/J40,2),)</f>
        <v>0</v>
      </c>
    </row>
    <row r="41" spans="1:12" x14ac:dyDescent="0.25">
      <c r="A41" t="s">
        <v>62</v>
      </c>
      <c r="B41" t="s">
        <v>11</v>
      </c>
      <c r="C41" s="1">
        <v>45973</v>
      </c>
      <c r="D41">
        <v>11</v>
      </c>
      <c r="E41">
        <v>3</v>
      </c>
      <c r="F41">
        <v>20301</v>
      </c>
      <c r="G41">
        <v>6787</v>
      </c>
      <c r="H41">
        <f>ROUND(E41/D41,2)</f>
        <v>0.27</v>
      </c>
      <c r="I41">
        <f>ROUND(G41/F41,2)</f>
        <v>0.33</v>
      </c>
      <c r="J41">
        <f>F41-IFERROR(VLOOKUP($A41,'0704'!$A$1:G88,6,FALSE),IFERROR(VLOOKUP($C41,'0704'!$C$1:G88,4,FALSE),F41-D41))</f>
        <v>1</v>
      </c>
      <c r="K41">
        <f>G41-IFERROR(VLOOKUP($A41,'0704'!$A$1:H88,7,FALSE),IFERROR(VLOOKUP($C41,'0704'!$C$1:H88,5,FALSE),G41-E41))</f>
        <v>0</v>
      </c>
      <c r="L41">
        <f>IFERROR(ROUND(K41/J41,2),)</f>
        <v>0</v>
      </c>
    </row>
    <row r="42" spans="1:12" x14ac:dyDescent="0.25">
      <c r="A42" t="s">
        <v>65</v>
      </c>
      <c r="B42" t="s">
        <v>11</v>
      </c>
      <c r="C42" s="1">
        <v>45933</v>
      </c>
      <c r="D42">
        <v>0</v>
      </c>
      <c r="E42">
        <v>1</v>
      </c>
      <c r="F42">
        <v>356</v>
      </c>
      <c r="G42">
        <v>539</v>
      </c>
      <c r="H42" t="e">
        <f>ROUND(E42/D42,2)</f>
        <v>#DIV/0!</v>
      </c>
      <c r="I42">
        <f>ROUND(G42/F42,2)</f>
        <v>1.51</v>
      </c>
      <c r="J42">
        <f>F42-IFERROR(VLOOKUP($A42,'0704'!$A$1:G89,6,FALSE),IFERROR(VLOOKUP($C42,'0704'!$C$1:G89,4,FALSE),F42-D42))</f>
        <v>0</v>
      </c>
      <c r="K42">
        <f>G42-IFERROR(VLOOKUP($A42,'0704'!$A$1:H89,7,FALSE),IFERROR(VLOOKUP($C42,'0704'!$C$1:H89,5,FALSE),G42-E42))</f>
        <v>0</v>
      </c>
      <c r="L42">
        <f>IFERROR(ROUND(K42/J42,2),)</f>
        <v>0</v>
      </c>
    </row>
    <row r="43" spans="1:12" x14ac:dyDescent="0.25">
      <c r="A43" t="s">
        <v>66</v>
      </c>
      <c r="B43" t="s">
        <v>11</v>
      </c>
      <c r="C43" s="1">
        <v>45930</v>
      </c>
      <c r="D43">
        <v>13</v>
      </c>
      <c r="E43">
        <v>2</v>
      </c>
      <c r="F43">
        <v>409</v>
      </c>
      <c r="G43">
        <v>314</v>
      </c>
      <c r="H43">
        <f>ROUND(E43/D43,2)</f>
        <v>0.15</v>
      </c>
      <c r="I43">
        <f>ROUND(G43/F43,2)</f>
        <v>0.77</v>
      </c>
      <c r="J43">
        <f>F43-IFERROR(VLOOKUP($A43,'0704'!$A$1:G90,6,FALSE),IFERROR(VLOOKUP($C43,'0704'!$C$1:G90,4,FALSE),F43-D43))</f>
        <v>0</v>
      </c>
      <c r="K43">
        <f>G43-IFERROR(VLOOKUP($A43,'0704'!$A$1:H90,7,FALSE),IFERROR(VLOOKUP($C43,'0704'!$C$1:H90,5,FALSE),G43-E43))</f>
        <v>0</v>
      </c>
      <c r="L43">
        <f>IFERROR(ROUND(K43/J43,2),)</f>
        <v>0</v>
      </c>
    </row>
    <row r="44" spans="1:12" x14ac:dyDescent="0.25">
      <c r="A44" t="s">
        <v>67</v>
      </c>
      <c r="B44" t="s">
        <v>11</v>
      </c>
      <c r="C44" s="1">
        <v>45927</v>
      </c>
      <c r="D44">
        <v>3</v>
      </c>
      <c r="E44">
        <v>1</v>
      </c>
      <c r="F44">
        <v>239</v>
      </c>
      <c r="G44">
        <v>680</v>
      </c>
      <c r="H44">
        <f>ROUND(E44/D44,2)</f>
        <v>0.33</v>
      </c>
      <c r="I44">
        <f>ROUND(G44/F44,2)</f>
        <v>2.85</v>
      </c>
      <c r="J44">
        <f>F44-IFERROR(VLOOKUP($A44,'0704'!$A$1:G91,6,FALSE),IFERROR(VLOOKUP($C44,'0704'!$C$1:G91,4,FALSE),F44-D44))</f>
        <v>0</v>
      </c>
      <c r="K44">
        <f>G44-IFERROR(VLOOKUP($A44,'0704'!$A$1:H91,7,FALSE),IFERROR(VLOOKUP($C44,'0704'!$C$1:H91,5,FALSE),G44-E44))</f>
        <v>0</v>
      </c>
      <c r="L44">
        <f>IFERROR(ROUND(K44/J44,2),)</f>
        <v>0</v>
      </c>
    </row>
    <row r="45" spans="1:12" x14ac:dyDescent="0.25">
      <c r="A45" t="s">
        <v>89</v>
      </c>
      <c r="B45" t="s">
        <v>11</v>
      </c>
      <c r="C45" s="1">
        <v>45921</v>
      </c>
      <c r="D45">
        <v>1</v>
      </c>
      <c r="E45">
        <v>1</v>
      </c>
      <c r="F45">
        <v>567</v>
      </c>
      <c r="G45">
        <v>1011</v>
      </c>
      <c r="H45">
        <f>ROUND(E45/D45,2)</f>
        <v>1</v>
      </c>
      <c r="I45">
        <f>ROUND(G45/F45,2)</f>
        <v>1.78</v>
      </c>
      <c r="J45">
        <f>F45-IFERROR(VLOOKUP($A45,'0704'!$A$1:G92,6,FALSE),IFERROR(VLOOKUP($C45,'0704'!$C$1:G92,4,FALSE),F45-D45))</f>
        <v>0</v>
      </c>
      <c r="K45">
        <f>G45-IFERROR(VLOOKUP($A45,'0704'!$A$1:H92,7,FALSE),IFERROR(VLOOKUP($C45,'0704'!$C$1:H92,5,FALSE),G45-E45))</f>
        <v>0</v>
      </c>
      <c r="L45">
        <f>IFERROR(ROUND(K45/J45,2),)</f>
        <v>0</v>
      </c>
    </row>
    <row r="46" spans="1:12" x14ac:dyDescent="0.25">
      <c r="A46" t="s">
        <v>98</v>
      </c>
      <c r="B46" t="s">
        <v>11</v>
      </c>
      <c r="C46" s="1">
        <v>45911</v>
      </c>
      <c r="D46">
        <v>10</v>
      </c>
      <c r="E46">
        <v>1</v>
      </c>
      <c r="F46">
        <v>386</v>
      </c>
      <c r="G46">
        <v>391</v>
      </c>
      <c r="H46">
        <f>ROUND(E46/D46,2)</f>
        <v>0.1</v>
      </c>
      <c r="I46">
        <f>ROUND(G46/F46,2)</f>
        <v>1.01</v>
      </c>
      <c r="J46">
        <f>F46-IFERROR(VLOOKUP($A46,'0704'!$A$1:G93,6,FALSE),IFERROR(VLOOKUP($C46,'0704'!$C$1:G93,4,FALSE),F46-D46))</f>
        <v>2</v>
      </c>
      <c r="K46">
        <f>G46-IFERROR(VLOOKUP($A46,'0704'!$A$1:H93,7,FALSE),IFERROR(VLOOKUP($C46,'0704'!$C$1:H93,5,FALSE),G46-E46))</f>
        <v>0</v>
      </c>
      <c r="L46">
        <f>IFERROR(ROUND(K46/J46,2),)</f>
        <v>0</v>
      </c>
    </row>
    <row r="47" spans="1:12" x14ac:dyDescent="0.25">
      <c r="J47" t="s">
        <v>99</v>
      </c>
      <c r="K47">
        <f>ROUND(SUM(K2:K46),2)</f>
        <v>1084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0701</vt:lpstr>
      <vt:lpstr>0702</vt:lpstr>
      <vt:lpstr>0703</vt:lpstr>
      <vt:lpstr>0704</vt:lpstr>
      <vt:lpstr>0705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</dc:creator>
  <cp:lastModifiedBy>hh he</cp:lastModifiedBy>
  <dcterms:created xsi:type="dcterms:W3CDTF">2026-07-02T01:19:00Z</dcterms:created>
  <dcterms:modified xsi:type="dcterms:W3CDTF">2026-07-05T03:19:23Z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6C87B62EF2574D8280E44E6993C1BA44</vt:lpwstr>
  </property>
  <property fmtid="{D5CDD505-2E9C-101B-9397-08002B2CF9AE}" pid="3" name="KSOProductBuildVer">
    <vt:lpwstr>2052-11.1.0.11830</vt:lpwstr>
  </property>
</Properties>
</file>