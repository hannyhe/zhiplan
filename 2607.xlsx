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43" windowHeight="9455" activeTab="1"/>
  </bookViews>
  <sheets>
    <sheet name="0701" sheetId="1" r:id="rId1"/>
    <sheet name="0702" sheetId="2" r:id="rId2"/>
  </sheets>
  <calcPr calcId="144525"/>
</workbook>
</file>

<file path=xl/sharedStrings.xml><?xml version="1.0" encoding="utf-8"?>
<sst xmlns="http://schemas.openxmlformats.org/spreadsheetml/2006/main" count="234" uniqueCount="81">
  <si>
    <t>内容</t>
  </si>
  <si>
    <t>内容类型</t>
  </si>
  <si>
    <t>内容发布时间</t>
  </si>
  <si>
    <t>本期阅读/观看量</t>
  </si>
  <si>
    <t>本期收益</t>
  </si>
  <si>
    <t>累计阅读/观看量</t>
  </si>
  <si>
    <t>累计收益</t>
  </si>
  <si>
    <t>新增浏览</t>
  </si>
  <si>
    <t>新增收益</t>
  </si>
  <si>
    <t>L0524</t>
  </si>
  <si>
    <t>月球和火星什么时候能具备哥伦布发现新大陆的价值？</t>
  </si>
  <si>
    <t>回答</t>
  </si>
  <si>
    <t>只要了解了人造卫星、飞机、流星、彗星，知道它们是什么，我们看到时就很容易区分出来。飞机拍出...</t>
  </si>
  <si>
    <t>想法</t>
  </si>
  <si>
    <t>如何肉眼区分人造卫星、飞机、流星、彗星?</t>
  </si>
  <si>
    <t>早餐必须吃饱吃好，补充一天所需营养，然后一天活力满满，精力旺盛。营养均衡的早餐，关键在于合...</t>
  </si>
  <si>
    <t>花椒靠种子繁育，种子需脱脂脱蜡处理才能发芽。春天地温上来，种子吸饱水分，种壳裂开，主根往下...</t>
  </si>
  <si>
    <t>为什么同样白天，地球上是一片明亮，而外太空却是添黑一片？</t>
  </si>
  <si>
    <t>古星图上的星宿分野和十二州国，是按星座来规划地上的城市吗？</t>
  </si>
  <si>
    <t>你是用什么态度来对待一日之早餐的呢？</t>
  </si>
  <si>
    <t>中微子就是难以捕捉，中微子探测器建在深海的目的就是屏蔽环境的影响。中微子不带电、质量极微小...</t>
  </si>
  <si>
    <t>你知道花椒是怎么生长的吗？</t>
  </si>
  <si>
    <t>未来食品企业的发展方向是哪些？</t>
  </si>
  <si>
    <t>0628顶77,42,21,7，3</t>
  </si>
  <si>
    <t>有大气层的星球才有风，月球几乎没有大气层，所以肯定没有风。金星和火星都有自己的大气层，都会...</t>
  </si>
  <si>
    <t>风雨雷电是自然法则，在月球金星火星上面也有吗？</t>
  </si>
  <si>
    <t>在农村要怎么养狗比较好啊，是吃狗粮呢，还是吃人吃的饭呢，那些便宜的狗粮能吃吗？</t>
  </si>
  <si>
    <t>0629顶96,41,13,15,1</t>
  </si>
  <si>
    <t>库仑扭秤个卡文迪许扭秤有什么区别吗？</t>
  </si>
  <si>
    <t>0626顶129,31,5,6,2</t>
  </si>
  <si>
    <t>0629撤145,40,9,6,3</t>
  </si>
  <si>
    <t>牛磺酸在食品添加剂中占有很重要的地位。那牛磺酸在人和动物体内，到底起什么作用？ #食品添加...</t>
  </si>
  <si>
    <t>视频</t>
  </si>
  <si>
    <t>我国南海「海铃」中微子望远镜为何建于水下 3500 米？其科学目标有哪些？</t>
  </si>
  <si>
    <t>0625顶98,39,9，8,6</t>
  </si>
  <si>
    <t>0628撤137,51,10,11,8</t>
  </si>
  <si>
    <t>如果宇宙中所有的恒星都像R136A1一样亮（太阳除外），那夜晚的天空会有多亮？</t>
  </si>
  <si>
    <t>狗狗通常在什么时间点进食？</t>
  </si>
  <si>
    <t>老父亲说表姐家同时供养三个大学生背负沉重经济负担根本不值得，请大家说说到底是不是呢？？</t>
  </si>
  <si>
    <t>可以分享一下你眼中夏天的天空吗？</t>
  </si>
  <si>
    <t>0623顶105,35,6,9,2</t>
  </si>
  <si>
    <t>0626撤133,51,15,12,3</t>
  </si>
  <si>
    <t>0701荐144,52,15,13,3</t>
  </si>
  <si>
    <t>古代没有大棚蔬菜，古人一年四季到底吃什么青菜？</t>
  </si>
  <si>
    <t>可以分享一张你记录过的星空吗？</t>
  </si>
  <si>
    <t>0617顶140,36,14,5,10</t>
  </si>
  <si>
    <t>0625撤203,57,31,9,11</t>
  </si>
  <si>
    <t>鸡蛋里面该不该添加角黄素？</t>
  </si>
  <si>
    <t>夏季夜空中最亮的星是什么星？</t>
  </si>
  <si>
    <t>月亮的上弦月和下弦月是如何区分的？</t>
  </si>
  <si>
    <t>如何养护香椿树芽，使其顺利长成大树？</t>
  </si>
  <si>
    <t>幼犬不吃狗粮了怎么办？</t>
  </si>
  <si>
    <t>你有没有在阳台种过无花果，收获果实了吗？</t>
  </si>
  <si>
    <t>鸡蛋羹的水用凉白开还是矿泉水？</t>
  </si>
  <si>
    <t>在光合作用中，为什么植物以 CO₂ 为原料，而不是其他气体？</t>
  </si>
  <si>
    <t>养狗狗的朋友们，狗狗不爱吃饭怎么办？</t>
  </si>
  <si>
    <t>如果月亮真的在远离地球，那么没有月亮的地球会不会没有黑夜？</t>
  </si>
  <si>
    <t>请问这颗特别亮的是什么星星？</t>
  </si>
  <si>
    <t>黑洞中心是一个没有体积的点吗？如果是的话那原本的物质去哪里了？</t>
  </si>
  <si>
    <t>天王星自转一圈，在行星各地看到的太阳在天球上的运动轨迹都是什么样？</t>
  </si>
  <si>
    <t>如何学会辨认星星？</t>
  </si>
  <si>
    <t>好心人可以帮我看看有哪些好辨认星星吗？</t>
  </si>
  <si>
    <t>什么是上弦月？什么是下弦月？</t>
  </si>
  <si>
    <t>我国高能同步辐射光源 2025 年底试运行，亮度比太阳亮万亿倍，这具有哪些重大意义？</t>
  </si>
  <si>
    <t>宇宙之大，产生生命的概率应该差不多吧？为什么只有地球上有那么多生命？地球凭什么有特殊性？实验基地吗？</t>
  </si>
  <si>
    <t>在澳大利亚看太阳是不是与河北省看太阳方位不一样？</t>
  </si>
  <si>
    <t>30 岁零基础，想系统学习天文学知识，应该从哪里开始？</t>
  </si>
  <si>
    <t>现在是 21 世纪，请问地球的资源真的会有匮乏的那一天吗？</t>
  </si>
  <si>
    <t>猪牛羊马都是有蹄动物，为什么牛羊马的蹄子都是非常坚硬角质层，而猪蹄子却有肉包裹呢？</t>
  </si>
  <si>
    <t>让科学家终生抱憾的星，我们如何看到？</t>
  </si>
  <si>
    <t>文章</t>
  </si>
  <si>
    <t>求助植物鉴别，请问这株3.5米高的野草是什么品种？</t>
  </si>
  <si>
    <t>下午老早就出现了月亮，一边太阳一边月亮，这是为什么呢？</t>
  </si>
  <si>
    <t>都说长得越快的树木越不成材，但为什么竹子长那么快强度却很好，甚至可以用来做建材呢？</t>
  </si>
  <si>
    <t>大家在家里都是怎么调芝麻酱的?</t>
  </si>
  <si>
    <t>拍摄太阳必须加滤光膜，否则会毁镜头。这就像你直接用眼睛看太阳会被刺伤。戴上墨镜再看，太阳就...</t>
  </si>
  <si>
    <t>为啥手机拍的太阳，会变成黑夜中一颗明星?</t>
  </si>
  <si>
    <t>0702撤120,53,32,13,5</t>
  </si>
  <si>
    <t>0702顶175,35,15,7,3</t>
  </si>
  <si>
    <t>在古代，世界各地都以365天为一个周期年吗？</t>
  </si>
  <si>
    <t>中国古代在不知道日心说的前提下，是怎么准确计算出二十四节气的？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</si>
</sst>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2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A25" workbookViewId="0">
      <selection activeCell="K2" sqref="K2"/>
    </sheetView>
  </sheetViews>
  <sheetFormatPr defaultColWidth="10" defaultRowHeight="14.4"/>
  <cols>
    <col min="1" max="1" width="59.3333333333333" customWidth="1"/>
    <col min="2" max="2" width="2.44444444444444" customWidth="1"/>
    <col min="4" max="7" width="5.88888888888889" customWidth="1"/>
    <col min="8" max="9" width="6.77777777777778" customWidth="1"/>
    <col min="10" max="10" width="7.66666666666667" customWidth="1"/>
    <col min="11" max="12" width="6.77777777777778" customWidth="1"/>
    <col min="13" max="13" width="20.3333333333333" customWidth="1"/>
    <col min="14" max="14" width="20.22222222222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3" t="s">
        <v>7</v>
      </c>
      <c r="K1" s="3" t="s">
        <v>8</v>
      </c>
      <c r="M1" s="4" t="s">
        <v>9</v>
      </c>
    </row>
    <row r="2" spans="1:13">
      <c r="A2" t="s">
        <v>10</v>
      </c>
      <c r="B2" t="s">
        <v>11</v>
      </c>
      <c r="C2" s="1">
        <v>46203</v>
      </c>
      <c r="D2">
        <v>25</v>
      </c>
      <c r="E2">
        <v>470</v>
      </c>
      <c r="F2">
        <v>25</v>
      </c>
      <c r="G2">
        <v>470</v>
      </c>
      <c r="H2" s="2">
        <f t="shared" ref="H2:H51" si="0">E2/D2</f>
        <v>18.8</v>
      </c>
      <c r="I2" s="2">
        <f t="shared" ref="I2:I51" si="1">G2/F2</f>
        <v>18.8</v>
      </c>
      <c r="J2" s="3">
        <v>25</v>
      </c>
      <c r="K2" s="5">
        <v>470</v>
      </c>
      <c r="L2" s="2">
        <f t="shared" ref="L2:L51" si="2">IFERROR(K2/J2,)</f>
        <v>18.8</v>
      </c>
      <c r="M2" s="4"/>
    </row>
    <row r="3" spans="1:13">
      <c r="A3" t="s">
        <v>12</v>
      </c>
      <c r="B3" t="s">
        <v>13</v>
      </c>
      <c r="C3" s="1">
        <v>46203</v>
      </c>
      <c r="D3">
        <v>382</v>
      </c>
      <c r="E3">
        <v>93</v>
      </c>
      <c r="F3">
        <v>382</v>
      </c>
      <c r="G3">
        <v>93</v>
      </c>
      <c r="H3" s="2">
        <f t="shared" si="0"/>
        <v>0.243455497382199</v>
      </c>
      <c r="I3" s="2">
        <f t="shared" si="1"/>
        <v>0.243455497382199</v>
      </c>
      <c r="J3" s="3">
        <v>382</v>
      </c>
      <c r="K3" s="5">
        <v>93</v>
      </c>
      <c r="L3" s="2">
        <f t="shared" si="2"/>
        <v>0.243455497382199</v>
      </c>
      <c r="M3" s="4"/>
    </row>
    <row r="4" spans="1:13">
      <c r="A4" t="s">
        <v>14</v>
      </c>
      <c r="B4" t="s">
        <v>11</v>
      </c>
      <c r="C4" s="1">
        <v>46202</v>
      </c>
      <c r="D4">
        <v>78</v>
      </c>
      <c r="E4">
        <v>814</v>
      </c>
      <c r="F4">
        <v>78</v>
      </c>
      <c r="G4">
        <v>814</v>
      </c>
      <c r="H4" s="2">
        <f t="shared" si="0"/>
        <v>10.4358974358974</v>
      </c>
      <c r="I4" s="2">
        <f t="shared" si="1"/>
        <v>10.4358974358974</v>
      </c>
      <c r="J4" s="3">
        <v>36</v>
      </c>
      <c r="K4" s="5">
        <v>306</v>
      </c>
      <c r="L4" s="2">
        <f t="shared" si="2"/>
        <v>8.5</v>
      </c>
      <c r="M4" s="4"/>
    </row>
    <row r="5" spans="1:13">
      <c r="A5" t="s">
        <v>15</v>
      </c>
      <c r="B5" t="s">
        <v>13</v>
      </c>
      <c r="C5" s="1">
        <v>46202</v>
      </c>
      <c r="D5">
        <v>395</v>
      </c>
      <c r="E5">
        <v>183</v>
      </c>
      <c r="F5">
        <v>395</v>
      </c>
      <c r="G5">
        <v>183</v>
      </c>
      <c r="H5" s="2">
        <f t="shared" si="0"/>
        <v>0.463291139240506</v>
      </c>
      <c r="I5" s="2">
        <f t="shared" si="1"/>
        <v>0.463291139240506</v>
      </c>
      <c r="J5" s="3">
        <v>138</v>
      </c>
      <c r="K5" s="5">
        <v>82</v>
      </c>
      <c r="L5" s="2">
        <f t="shared" si="2"/>
        <v>0.594202898550725</v>
      </c>
      <c r="M5" s="4"/>
    </row>
    <row r="6" spans="1:13">
      <c r="A6" t="s">
        <v>16</v>
      </c>
      <c r="B6" t="s">
        <v>13</v>
      </c>
      <c r="C6" s="1">
        <v>46201</v>
      </c>
      <c r="D6">
        <v>364</v>
      </c>
      <c r="E6">
        <v>310</v>
      </c>
      <c r="F6">
        <v>364</v>
      </c>
      <c r="G6">
        <v>310</v>
      </c>
      <c r="H6" s="2">
        <f t="shared" si="0"/>
        <v>0.851648351648352</v>
      </c>
      <c r="I6" s="2">
        <f t="shared" si="1"/>
        <v>0.851648351648352</v>
      </c>
      <c r="J6" s="3">
        <v>78</v>
      </c>
      <c r="K6" s="5">
        <v>37</v>
      </c>
      <c r="L6" s="2">
        <f t="shared" si="2"/>
        <v>0.474358974358974</v>
      </c>
      <c r="M6" s="4"/>
    </row>
    <row r="7" spans="1:13">
      <c r="A7" t="s">
        <v>17</v>
      </c>
      <c r="B7" t="s">
        <v>11</v>
      </c>
      <c r="C7" s="1">
        <v>46201</v>
      </c>
      <c r="D7">
        <v>256</v>
      </c>
      <c r="E7">
        <v>967</v>
      </c>
      <c r="F7">
        <v>256</v>
      </c>
      <c r="G7">
        <v>967</v>
      </c>
      <c r="H7" s="2">
        <f t="shared" si="0"/>
        <v>3.77734375</v>
      </c>
      <c r="I7" s="2">
        <f t="shared" si="1"/>
        <v>3.77734375</v>
      </c>
      <c r="J7" s="3">
        <v>82</v>
      </c>
      <c r="K7" s="5">
        <v>172</v>
      </c>
      <c r="L7" s="2">
        <f t="shared" si="2"/>
        <v>2.09756097560976</v>
      </c>
      <c r="M7" s="4"/>
    </row>
    <row r="8" spans="1:13">
      <c r="A8" t="s">
        <v>18</v>
      </c>
      <c r="B8" t="s">
        <v>11</v>
      </c>
      <c r="C8" s="1">
        <v>46200</v>
      </c>
      <c r="D8">
        <v>91</v>
      </c>
      <c r="E8">
        <v>353</v>
      </c>
      <c r="F8">
        <v>91</v>
      </c>
      <c r="G8">
        <v>353</v>
      </c>
      <c r="H8" s="2">
        <f t="shared" si="0"/>
        <v>3.87912087912088</v>
      </c>
      <c r="I8" s="2">
        <f t="shared" si="1"/>
        <v>3.87912087912088</v>
      </c>
      <c r="J8" s="3">
        <v>21</v>
      </c>
      <c r="K8" s="5">
        <v>63</v>
      </c>
      <c r="L8" s="2">
        <f t="shared" si="2"/>
        <v>3</v>
      </c>
      <c r="M8" s="4"/>
    </row>
    <row r="9" spans="1:13">
      <c r="A9" t="s">
        <v>19</v>
      </c>
      <c r="B9" t="s">
        <v>11</v>
      </c>
      <c r="C9" s="1">
        <v>46199</v>
      </c>
      <c r="D9">
        <v>115</v>
      </c>
      <c r="E9">
        <v>430</v>
      </c>
      <c r="F9">
        <v>115</v>
      </c>
      <c r="G9">
        <v>430</v>
      </c>
      <c r="H9" s="2">
        <f t="shared" si="0"/>
        <v>3.73913043478261</v>
      </c>
      <c r="I9" s="2">
        <f t="shared" si="1"/>
        <v>3.73913043478261</v>
      </c>
      <c r="J9" s="3">
        <v>6</v>
      </c>
      <c r="K9" s="5">
        <v>19</v>
      </c>
      <c r="L9" s="2">
        <f t="shared" si="2"/>
        <v>3.16666666666667</v>
      </c>
      <c r="M9" s="4"/>
    </row>
    <row r="10" spans="1:13">
      <c r="A10" t="s">
        <v>20</v>
      </c>
      <c r="B10" t="s">
        <v>13</v>
      </c>
      <c r="C10" s="1">
        <v>46199</v>
      </c>
      <c r="D10">
        <v>575</v>
      </c>
      <c r="E10">
        <v>198</v>
      </c>
      <c r="F10">
        <v>575</v>
      </c>
      <c r="G10">
        <v>198</v>
      </c>
      <c r="H10" s="2">
        <f t="shared" si="0"/>
        <v>0.344347826086957</v>
      </c>
      <c r="I10" s="2">
        <f t="shared" si="1"/>
        <v>0.344347826086957</v>
      </c>
      <c r="J10" s="3">
        <v>15</v>
      </c>
      <c r="K10" s="5">
        <v>0</v>
      </c>
      <c r="L10" s="2">
        <f t="shared" si="2"/>
        <v>0</v>
      </c>
      <c r="M10" s="4"/>
    </row>
    <row r="11" spans="1:13">
      <c r="A11" t="s">
        <v>21</v>
      </c>
      <c r="B11" t="s">
        <v>11</v>
      </c>
      <c r="C11" s="1">
        <v>46198</v>
      </c>
      <c r="D11">
        <v>166</v>
      </c>
      <c r="E11">
        <v>1273</v>
      </c>
      <c r="F11">
        <v>166</v>
      </c>
      <c r="G11">
        <v>1273</v>
      </c>
      <c r="H11" s="2">
        <f t="shared" si="0"/>
        <v>7.66867469879518</v>
      </c>
      <c r="I11" s="2">
        <f t="shared" si="1"/>
        <v>7.66867469879518</v>
      </c>
      <c r="J11" s="3">
        <v>8</v>
      </c>
      <c r="K11" s="5">
        <v>76</v>
      </c>
      <c r="L11" s="2">
        <f t="shared" si="2"/>
        <v>9.5</v>
      </c>
      <c r="M11" s="4"/>
    </row>
    <row r="12" spans="1:13">
      <c r="A12" t="s">
        <v>22</v>
      </c>
      <c r="B12" t="s">
        <v>11</v>
      </c>
      <c r="C12" s="1">
        <v>46197</v>
      </c>
      <c r="D12">
        <v>113</v>
      </c>
      <c r="E12">
        <v>574</v>
      </c>
      <c r="F12">
        <v>113</v>
      </c>
      <c r="G12">
        <v>574</v>
      </c>
      <c r="H12" s="2">
        <f t="shared" si="0"/>
        <v>5.07964601769912</v>
      </c>
      <c r="I12" s="2">
        <f t="shared" si="1"/>
        <v>5.07964601769912</v>
      </c>
      <c r="J12" s="3">
        <v>13</v>
      </c>
      <c r="K12" s="5">
        <v>83</v>
      </c>
      <c r="L12" s="2">
        <f t="shared" si="2"/>
        <v>6.38461538461539</v>
      </c>
      <c r="M12" s="4" t="s">
        <v>23</v>
      </c>
    </row>
    <row r="13" spans="1:13">
      <c r="A13" t="s">
        <v>24</v>
      </c>
      <c r="B13" t="s">
        <v>13</v>
      </c>
      <c r="C13" s="1">
        <v>46196</v>
      </c>
      <c r="D13">
        <v>381</v>
      </c>
      <c r="E13">
        <v>73</v>
      </c>
      <c r="F13">
        <v>901</v>
      </c>
      <c r="G13">
        <v>271</v>
      </c>
      <c r="H13" s="2">
        <f t="shared" si="0"/>
        <v>0.191601049868766</v>
      </c>
      <c r="I13" s="2">
        <f t="shared" si="1"/>
        <v>0.300776914539401</v>
      </c>
      <c r="J13" s="3">
        <v>14</v>
      </c>
      <c r="K13" s="5">
        <v>0</v>
      </c>
      <c r="L13" s="2">
        <f t="shared" si="2"/>
        <v>0</v>
      </c>
      <c r="M13" s="4"/>
    </row>
    <row r="14" spans="1:13">
      <c r="A14" t="s">
        <v>25</v>
      </c>
      <c r="B14" t="s">
        <v>11</v>
      </c>
      <c r="C14" s="1">
        <v>46196</v>
      </c>
      <c r="D14">
        <v>98</v>
      </c>
      <c r="E14">
        <v>267</v>
      </c>
      <c r="F14">
        <v>171</v>
      </c>
      <c r="G14">
        <v>1158</v>
      </c>
      <c r="H14" s="2">
        <f t="shared" si="0"/>
        <v>2.72448979591837</v>
      </c>
      <c r="I14" s="2">
        <f t="shared" si="1"/>
        <v>6.7719298245614</v>
      </c>
      <c r="J14" s="3">
        <v>7</v>
      </c>
      <c r="K14" s="5">
        <v>38</v>
      </c>
      <c r="L14" s="2">
        <f t="shared" si="2"/>
        <v>5.42857142857143</v>
      </c>
      <c r="M14" s="4"/>
    </row>
    <row r="15" spans="1:13">
      <c r="A15" t="s">
        <v>26</v>
      </c>
      <c r="B15" t="s">
        <v>11</v>
      </c>
      <c r="C15" s="1">
        <v>46195</v>
      </c>
      <c r="D15">
        <v>49</v>
      </c>
      <c r="E15">
        <v>221</v>
      </c>
      <c r="F15">
        <v>127</v>
      </c>
      <c r="G15">
        <v>577</v>
      </c>
      <c r="H15" s="2">
        <f t="shared" si="0"/>
        <v>4.51020408163265</v>
      </c>
      <c r="I15" s="2">
        <f t="shared" si="1"/>
        <v>4.54330708661417</v>
      </c>
      <c r="J15" s="3">
        <v>20</v>
      </c>
      <c r="K15" s="5">
        <v>130</v>
      </c>
      <c r="L15" s="2">
        <f t="shared" si="2"/>
        <v>6.5</v>
      </c>
      <c r="M15" s="4" t="s">
        <v>27</v>
      </c>
    </row>
    <row r="16" spans="1:14">
      <c r="A16" t="s">
        <v>28</v>
      </c>
      <c r="B16" t="s">
        <v>11</v>
      </c>
      <c r="C16" s="1">
        <v>46194</v>
      </c>
      <c r="D16">
        <v>57</v>
      </c>
      <c r="E16">
        <v>267</v>
      </c>
      <c r="F16">
        <v>150</v>
      </c>
      <c r="G16">
        <v>1024</v>
      </c>
      <c r="H16" s="2">
        <f t="shared" si="0"/>
        <v>4.68421052631579</v>
      </c>
      <c r="I16" s="2">
        <f t="shared" si="1"/>
        <v>6.82666666666667</v>
      </c>
      <c r="J16" s="3">
        <v>2</v>
      </c>
      <c r="K16" s="5">
        <v>0</v>
      </c>
      <c r="L16" s="2">
        <f t="shared" si="2"/>
        <v>0</v>
      </c>
      <c r="M16" s="4" t="s">
        <v>29</v>
      </c>
      <c r="N16" t="s">
        <v>30</v>
      </c>
    </row>
    <row r="17" spans="1:13">
      <c r="A17" t="s">
        <v>31</v>
      </c>
      <c r="B17" t="s">
        <v>32</v>
      </c>
      <c r="C17" s="1">
        <v>46193</v>
      </c>
      <c r="D17">
        <v>20</v>
      </c>
      <c r="E17">
        <v>10</v>
      </c>
      <c r="F17">
        <v>141</v>
      </c>
      <c r="G17">
        <v>114</v>
      </c>
      <c r="H17" s="2">
        <f t="shared" si="0"/>
        <v>0.5</v>
      </c>
      <c r="I17" s="2">
        <f t="shared" si="1"/>
        <v>0.808510638297872</v>
      </c>
      <c r="J17" s="3">
        <v>0</v>
      </c>
      <c r="K17" s="5">
        <v>0</v>
      </c>
      <c r="L17" s="2">
        <f t="shared" si="2"/>
        <v>0</v>
      </c>
      <c r="M17" s="4"/>
    </row>
    <row r="18" spans="1:14">
      <c r="A18" t="s">
        <v>33</v>
      </c>
      <c r="B18" t="s">
        <v>11</v>
      </c>
      <c r="C18" s="1">
        <v>46193</v>
      </c>
      <c r="D18">
        <v>60</v>
      </c>
      <c r="E18">
        <v>477</v>
      </c>
      <c r="F18">
        <v>149</v>
      </c>
      <c r="G18">
        <v>1617</v>
      </c>
      <c r="H18" s="2">
        <f t="shared" si="0"/>
        <v>7.95</v>
      </c>
      <c r="I18" s="2">
        <f t="shared" si="1"/>
        <v>10.8523489932886</v>
      </c>
      <c r="J18" s="3">
        <v>3</v>
      </c>
      <c r="K18" s="5">
        <v>38</v>
      </c>
      <c r="L18" s="2">
        <f t="shared" si="2"/>
        <v>12.6666666666667</v>
      </c>
      <c r="M18" s="4" t="s">
        <v>34</v>
      </c>
      <c r="N18" t="s">
        <v>35</v>
      </c>
    </row>
    <row r="19" spans="1:13">
      <c r="A19" t="s">
        <v>36</v>
      </c>
      <c r="B19" t="s">
        <v>11</v>
      </c>
      <c r="C19" s="1">
        <v>46192</v>
      </c>
      <c r="D19">
        <v>442</v>
      </c>
      <c r="E19">
        <v>152</v>
      </c>
      <c r="F19">
        <v>1978</v>
      </c>
      <c r="G19">
        <v>1204</v>
      </c>
      <c r="H19" s="2">
        <f t="shared" si="0"/>
        <v>0.343891402714932</v>
      </c>
      <c r="I19" s="2">
        <f t="shared" si="1"/>
        <v>0.608695652173913</v>
      </c>
      <c r="J19" s="3">
        <v>38</v>
      </c>
      <c r="K19" s="5">
        <v>38</v>
      </c>
      <c r="L19" s="2">
        <f t="shared" si="2"/>
        <v>1</v>
      </c>
      <c r="M19" s="4"/>
    </row>
    <row r="20" spans="1:13">
      <c r="A20" t="s">
        <v>37</v>
      </c>
      <c r="B20" t="s">
        <v>11</v>
      </c>
      <c r="C20" s="1">
        <v>46191</v>
      </c>
      <c r="D20">
        <v>125</v>
      </c>
      <c r="E20">
        <v>53</v>
      </c>
      <c r="F20">
        <v>367</v>
      </c>
      <c r="G20">
        <v>218</v>
      </c>
      <c r="H20" s="2">
        <f t="shared" si="0"/>
        <v>0.424</v>
      </c>
      <c r="I20" s="2">
        <f t="shared" si="1"/>
        <v>0.594005449591281</v>
      </c>
      <c r="J20" s="3">
        <v>15</v>
      </c>
      <c r="K20" s="5">
        <v>0</v>
      </c>
      <c r="L20" s="2">
        <f t="shared" si="2"/>
        <v>0</v>
      </c>
      <c r="M20" s="4"/>
    </row>
    <row r="21" spans="1:13">
      <c r="A21" t="s">
        <v>38</v>
      </c>
      <c r="B21" t="s">
        <v>11</v>
      </c>
      <c r="C21" s="1">
        <v>46190</v>
      </c>
      <c r="D21">
        <v>45</v>
      </c>
      <c r="E21">
        <v>2</v>
      </c>
      <c r="F21">
        <v>691</v>
      </c>
      <c r="G21">
        <v>6</v>
      </c>
      <c r="H21" s="2">
        <f t="shared" si="0"/>
        <v>0.0444444444444444</v>
      </c>
      <c r="I21" s="2">
        <f t="shared" si="1"/>
        <v>0.00868306801736614</v>
      </c>
      <c r="J21" s="3">
        <v>4</v>
      </c>
      <c r="K21" s="5">
        <v>0</v>
      </c>
      <c r="L21" s="2">
        <f t="shared" si="2"/>
        <v>0</v>
      </c>
      <c r="M21" s="4"/>
    </row>
    <row r="22" spans="1:15">
      <c r="A22" t="s">
        <v>39</v>
      </c>
      <c r="B22" t="s">
        <v>11</v>
      </c>
      <c r="C22" s="1">
        <v>46189</v>
      </c>
      <c r="D22">
        <v>23</v>
      </c>
      <c r="E22">
        <v>325</v>
      </c>
      <c r="F22">
        <v>144</v>
      </c>
      <c r="G22">
        <v>922</v>
      </c>
      <c r="H22" s="2">
        <f t="shared" si="0"/>
        <v>14.1304347826087</v>
      </c>
      <c r="I22" s="2">
        <f t="shared" si="1"/>
        <v>6.40277777777778</v>
      </c>
      <c r="J22" s="3">
        <v>2</v>
      </c>
      <c r="K22" s="5">
        <v>0</v>
      </c>
      <c r="L22" s="2">
        <f t="shared" si="2"/>
        <v>0</v>
      </c>
      <c r="M22" s="4" t="s">
        <v>40</v>
      </c>
      <c r="N22" t="s">
        <v>41</v>
      </c>
      <c r="O22" t="s">
        <v>42</v>
      </c>
    </row>
    <row r="23" spans="1:13">
      <c r="A23" t="s">
        <v>43</v>
      </c>
      <c r="B23" t="s">
        <v>11</v>
      </c>
      <c r="C23" s="1">
        <v>46187</v>
      </c>
      <c r="D23">
        <v>252</v>
      </c>
      <c r="E23">
        <v>88</v>
      </c>
      <c r="F23">
        <v>11003</v>
      </c>
      <c r="G23">
        <v>784</v>
      </c>
      <c r="H23" s="2">
        <f t="shared" si="0"/>
        <v>0.349206349206349</v>
      </c>
      <c r="I23" s="2">
        <f t="shared" si="1"/>
        <v>0.0712532945560302</v>
      </c>
      <c r="J23" s="3">
        <v>37</v>
      </c>
      <c r="K23" s="5">
        <v>51</v>
      </c>
      <c r="L23" s="2">
        <f t="shared" si="2"/>
        <v>1.37837837837838</v>
      </c>
      <c r="M23" s="4"/>
    </row>
    <row r="24" spans="1:14">
      <c r="A24" t="s">
        <v>44</v>
      </c>
      <c r="B24" t="s">
        <v>11</v>
      </c>
      <c r="C24" s="1">
        <v>46183</v>
      </c>
      <c r="D24">
        <v>7</v>
      </c>
      <c r="E24">
        <v>38</v>
      </c>
      <c r="F24">
        <v>209</v>
      </c>
      <c r="G24">
        <v>1000</v>
      </c>
      <c r="H24" s="2">
        <f t="shared" si="0"/>
        <v>5.42857142857143</v>
      </c>
      <c r="I24" s="2">
        <f t="shared" si="1"/>
        <v>4.78468899521531</v>
      </c>
      <c r="J24" s="3">
        <v>0</v>
      </c>
      <c r="K24" s="5">
        <v>0</v>
      </c>
      <c r="L24" s="2">
        <f t="shared" si="2"/>
        <v>0</v>
      </c>
      <c r="M24" s="4" t="s">
        <v>45</v>
      </c>
      <c r="N24" t="s">
        <v>46</v>
      </c>
    </row>
    <row r="25" spans="1:13">
      <c r="A25" t="s">
        <v>47</v>
      </c>
      <c r="B25" t="s">
        <v>11</v>
      </c>
      <c r="C25" s="1">
        <v>46182</v>
      </c>
      <c r="D25">
        <v>2</v>
      </c>
      <c r="E25">
        <v>15</v>
      </c>
      <c r="F25">
        <v>121</v>
      </c>
      <c r="G25">
        <v>277</v>
      </c>
      <c r="H25" s="2">
        <f t="shared" si="0"/>
        <v>7.5</v>
      </c>
      <c r="I25" s="2">
        <f t="shared" si="1"/>
        <v>2.28925619834711</v>
      </c>
      <c r="J25" s="3">
        <v>2</v>
      </c>
      <c r="K25" s="5">
        <v>15</v>
      </c>
      <c r="L25" s="2">
        <f t="shared" si="2"/>
        <v>7.5</v>
      </c>
      <c r="M25" s="4"/>
    </row>
    <row r="26" spans="1:13">
      <c r="A26" t="s">
        <v>48</v>
      </c>
      <c r="B26" t="s">
        <v>11</v>
      </c>
      <c r="C26" s="1">
        <v>46177</v>
      </c>
      <c r="D26">
        <v>28</v>
      </c>
      <c r="E26">
        <v>38</v>
      </c>
      <c r="F26">
        <v>340</v>
      </c>
      <c r="G26">
        <v>665</v>
      </c>
      <c r="H26" s="2">
        <f t="shared" si="0"/>
        <v>1.35714285714286</v>
      </c>
      <c r="I26" s="2">
        <f t="shared" si="1"/>
        <v>1.95588235294118</v>
      </c>
      <c r="J26" s="3">
        <v>2</v>
      </c>
      <c r="K26" s="5">
        <v>0</v>
      </c>
      <c r="L26" s="2">
        <f t="shared" si="2"/>
        <v>0</v>
      </c>
      <c r="M26" s="4"/>
    </row>
    <row r="27" spans="1:13">
      <c r="A27" t="s">
        <v>49</v>
      </c>
      <c r="B27" t="s">
        <v>11</v>
      </c>
      <c r="C27" s="1">
        <v>46173</v>
      </c>
      <c r="D27">
        <v>22</v>
      </c>
      <c r="E27">
        <v>19</v>
      </c>
      <c r="F27">
        <v>373</v>
      </c>
      <c r="G27">
        <v>481</v>
      </c>
      <c r="H27" s="2">
        <f t="shared" si="0"/>
        <v>0.863636363636364</v>
      </c>
      <c r="I27" s="2">
        <f t="shared" si="1"/>
        <v>1.28954423592493</v>
      </c>
      <c r="J27" s="3">
        <v>3</v>
      </c>
      <c r="K27" s="5">
        <v>0</v>
      </c>
      <c r="L27" s="2">
        <f t="shared" si="2"/>
        <v>0</v>
      </c>
      <c r="M27" s="4"/>
    </row>
    <row r="28" spans="1:14">
      <c r="A28" t="s">
        <v>50</v>
      </c>
      <c r="B28" t="s">
        <v>11</v>
      </c>
      <c r="C28" s="1">
        <v>46172</v>
      </c>
      <c r="D28">
        <v>3</v>
      </c>
      <c r="E28">
        <v>7</v>
      </c>
      <c r="F28">
        <v>184</v>
      </c>
      <c r="G28">
        <v>144</v>
      </c>
      <c r="H28" s="2">
        <f t="shared" si="0"/>
        <v>2.33333333333333</v>
      </c>
      <c r="I28" s="2">
        <f t="shared" si="1"/>
        <v>0.782608695652174</v>
      </c>
      <c r="J28" s="3">
        <v>0</v>
      </c>
      <c r="K28" s="5">
        <v>0</v>
      </c>
      <c r="L28" s="2">
        <f t="shared" si="2"/>
        <v>0</v>
      </c>
      <c r="M28" s="4"/>
      <c r="N28" s="4"/>
    </row>
    <row r="29" spans="1:13">
      <c r="A29" t="s">
        <v>51</v>
      </c>
      <c r="B29" t="s">
        <v>11</v>
      </c>
      <c r="C29" s="1">
        <v>46168</v>
      </c>
      <c r="D29">
        <v>3</v>
      </c>
      <c r="E29">
        <v>24</v>
      </c>
      <c r="F29">
        <v>127</v>
      </c>
      <c r="G29">
        <v>191</v>
      </c>
      <c r="H29" s="2">
        <f t="shared" si="0"/>
        <v>8</v>
      </c>
      <c r="I29" s="2">
        <f t="shared" si="1"/>
        <v>1.50393700787402</v>
      </c>
      <c r="J29" s="3">
        <v>0</v>
      </c>
      <c r="K29" s="5">
        <v>0</v>
      </c>
      <c r="L29" s="2">
        <f t="shared" si="2"/>
        <v>0</v>
      </c>
      <c r="M29" s="4"/>
    </row>
    <row r="30" spans="1:13">
      <c r="A30" t="s">
        <v>52</v>
      </c>
      <c r="B30" t="s">
        <v>11</v>
      </c>
      <c r="C30" s="1">
        <v>46164</v>
      </c>
      <c r="D30">
        <v>35</v>
      </c>
      <c r="E30">
        <v>12</v>
      </c>
      <c r="F30">
        <v>581</v>
      </c>
      <c r="G30">
        <v>240</v>
      </c>
      <c r="H30" s="2">
        <f t="shared" si="0"/>
        <v>0.342857142857143</v>
      </c>
      <c r="I30" s="2">
        <f t="shared" si="1"/>
        <v>0.413080895008606</v>
      </c>
      <c r="J30" s="3">
        <v>3</v>
      </c>
      <c r="K30" s="5">
        <v>6</v>
      </c>
      <c r="L30" s="2">
        <f t="shared" si="2"/>
        <v>2</v>
      </c>
      <c r="M30" s="4"/>
    </row>
    <row r="31" spans="1:13">
      <c r="A31" t="s">
        <v>53</v>
      </c>
      <c r="B31" t="s">
        <v>11</v>
      </c>
      <c r="C31" s="1">
        <v>46156</v>
      </c>
      <c r="D31">
        <v>8</v>
      </c>
      <c r="E31">
        <v>5</v>
      </c>
      <c r="F31">
        <v>437</v>
      </c>
      <c r="G31">
        <v>213</v>
      </c>
      <c r="H31" s="2">
        <f t="shared" si="0"/>
        <v>0.625</v>
      </c>
      <c r="I31" s="2">
        <f t="shared" si="1"/>
        <v>0.487414187643021</v>
      </c>
      <c r="J31" s="3">
        <v>0</v>
      </c>
      <c r="K31" s="5">
        <v>0</v>
      </c>
      <c r="L31" s="2">
        <f t="shared" si="2"/>
        <v>0</v>
      </c>
      <c r="M31" s="4"/>
    </row>
    <row r="32" spans="1:13">
      <c r="A32" t="s">
        <v>54</v>
      </c>
      <c r="B32" t="s">
        <v>11</v>
      </c>
      <c r="C32" s="1">
        <v>46142</v>
      </c>
      <c r="D32">
        <v>9</v>
      </c>
      <c r="E32">
        <v>30</v>
      </c>
      <c r="F32">
        <v>3158</v>
      </c>
      <c r="G32">
        <v>1782</v>
      </c>
      <c r="H32" s="2">
        <f t="shared" si="0"/>
        <v>3.33333333333333</v>
      </c>
      <c r="I32" s="2">
        <f t="shared" si="1"/>
        <v>0.564281190626979</v>
      </c>
      <c r="J32" s="3">
        <v>0</v>
      </c>
      <c r="K32" s="5">
        <v>0</v>
      </c>
      <c r="L32" s="2">
        <f t="shared" si="2"/>
        <v>0</v>
      </c>
      <c r="M32" s="4"/>
    </row>
    <row r="33" spans="1:12">
      <c r="A33" t="s">
        <v>55</v>
      </c>
      <c r="B33" t="s">
        <v>11</v>
      </c>
      <c r="C33" s="1">
        <v>46129</v>
      </c>
      <c r="D33">
        <v>11</v>
      </c>
      <c r="E33">
        <v>12</v>
      </c>
      <c r="F33">
        <v>398</v>
      </c>
      <c r="G33">
        <v>129</v>
      </c>
      <c r="H33" s="2">
        <f t="shared" si="0"/>
        <v>1.09090909090909</v>
      </c>
      <c r="I33" s="2">
        <f t="shared" si="1"/>
        <v>0.324120603015075</v>
      </c>
      <c r="J33" s="3">
        <v>0</v>
      </c>
      <c r="K33" s="5">
        <v>0</v>
      </c>
      <c r="L33" s="2">
        <f t="shared" si="2"/>
        <v>0</v>
      </c>
    </row>
    <row r="34" spans="1:12">
      <c r="A34" t="s">
        <v>56</v>
      </c>
      <c r="B34" t="s">
        <v>11</v>
      </c>
      <c r="C34" s="1">
        <v>46063</v>
      </c>
      <c r="D34">
        <v>0</v>
      </c>
      <c r="E34">
        <v>9</v>
      </c>
      <c r="F34">
        <v>247</v>
      </c>
      <c r="G34">
        <v>523</v>
      </c>
      <c r="H34" s="2" t="e">
        <f t="shared" si="0"/>
        <v>#DIV/0!</v>
      </c>
      <c r="I34" s="2">
        <f t="shared" si="1"/>
        <v>2.11740890688259</v>
      </c>
      <c r="J34" s="3">
        <v>0</v>
      </c>
      <c r="K34" s="5">
        <v>9</v>
      </c>
      <c r="L34" s="2">
        <f t="shared" si="2"/>
        <v>0</v>
      </c>
    </row>
    <row r="35" spans="1:12">
      <c r="A35" t="s">
        <v>57</v>
      </c>
      <c r="B35" t="s">
        <v>11</v>
      </c>
      <c r="C35" s="1">
        <v>46044</v>
      </c>
      <c r="D35">
        <v>11</v>
      </c>
      <c r="E35">
        <v>9</v>
      </c>
      <c r="F35">
        <v>900</v>
      </c>
      <c r="G35">
        <v>1062</v>
      </c>
      <c r="H35" s="2">
        <f t="shared" si="0"/>
        <v>0.818181818181818</v>
      </c>
      <c r="I35" s="2">
        <f t="shared" si="1"/>
        <v>1.18</v>
      </c>
      <c r="J35" s="3">
        <v>0</v>
      </c>
      <c r="K35" s="5">
        <v>0</v>
      </c>
      <c r="L35" s="2">
        <f t="shared" si="2"/>
        <v>0</v>
      </c>
    </row>
    <row r="36" spans="1:12">
      <c r="A36" t="s">
        <v>58</v>
      </c>
      <c r="B36" t="s">
        <v>11</v>
      </c>
      <c r="C36" s="1">
        <v>46031</v>
      </c>
      <c r="D36">
        <v>430</v>
      </c>
      <c r="E36">
        <v>65</v>
      </c>
      <c r="F36">
        <v>3019</v>
      </c>
      <c r="G36">
        <v>1465</v>
      </c>
      <c r="H36" s="2">
        <f t="shared" si="0"/>
        <v>0.151162790697674</v>
      </c>
      <c r="I36" s="2">
        <f t="shared" si="1"/>
        <v>0.485260019874131</v>
      </c>
      <c r="J36" s="3">
        <v>15</v>
      </c>
      <c r="K36" s="5">
        <v>0</v>
      </c>
      <c r="L36" s="2">
        <f t="shared" si="2"/>
        <v>0</v>
      </c>
    </row>
    <row r="37" spans="1:12">
      <c r="A37" t="s">
        <v>59</v>
      </c>
      <c r="B37" t="s">
        <v>11</v>
      </c>
      <c r="C37" s="1">
        <v>46007</v>
      </c>
      <c r="D37">
        <v>28</v>
      </c>
      <c r="E37">
        <v>3</v>
      </c>
      <c r="F37">
        <v>1542</v>
      </c>
      <c r="G37">
        <v>926</v>
      </c>
      <c r="H37" s="2">
        <f t="shared" si="0"/>
        <v>0.107142857142857</v>
      </c>
      <c r="I37" s="2">
        <f t="shared" si="1"/>
        <v>0.600518806744488</v>
      </c>
      <c r="J37" s="3">
        <v>4</v>
      </c>
      <c r="K37" s="5">
        <v>0</v>
      </c>
      <c r="L37" s="2">
        <f t="shared" si="2"/>
        <v>0</v>
      </c>
    </row>
    <row r="38" spans="1:12">
      <c r="A38" t="s">
        <v>60</v>
      </c>
      <c r="B38" t="s">
        <v>11</v>
      </c>
      <c r="C38" s="1">
        <v>45986</v>
      </c>
      <c r="D38">
        <v>25</v>
      </c>
      <c r="E38">
        <v>1</v>
      </c>
      <c r="F38">
        <v>946</v>
      </c>
      <c r="G38">
        <v>1545</v>
      </c>
      <c r="H38" s="2">
        <f t="shared" si="0"/>
        <v>0.04</v>
      </c>
      <c r="I38" s="2">
        <f t="shared" si="1"/>
        <v>1.63319238900634</v>
      </c>
      <c r="J38" s="3">
        <v>4</v>
      </c>
      <c r="K38" s="5">
        <v>0</v>
      </c>
      <c r="L38" s="2">
        <f t="shared" si="2"/>
        <v>0</v>
      </c>
    </row>
    <row r="39" spans="1:12">
      <c r="A39" t="s">
        <v>61</v>
      </c>
      <c r="B39" t="s">
        <v>11</v>
      </c>
      <c r="C39" s="1">
        <v>45982</v>
      </c>
      <c r="D39">
        <v>30</v>
      </c>
      <c r="E39">
        <v>3</v>
      </c>
      <c r="F39">
        <v>337</v>
      </c>
      <c r="G39">
        <v>940</v>
      </c>
      <c r="H39" s="2">
        <f t="shared" si="0"/>
        <v>0.1</v>
      </c>
      <c r="I39" s="2">
        <f t="shared" si="1"/>
        <v>2.7893175074184</v>
      </c>
      <c r="J39" s="3">
        <v>30</v>
      </c>
      <c r="K39" s="5">
        <v>3</v>
      </c>
      <c r="L39" s="2">
        <f t="shared" si="2"/>
        <v>0.1</v>
      </c>
    </row>
    <row r="40" spans="1:12">
      <c r="A40" t="s">
        <v>62</v>
      </c>
      <c r="B40" t="s">
        <v>11</v>
      </c>
      <c r="C40" s="1">
        <v>45973</v>
      </c>
      <c r="D40">
        <v>26</v>
      </c>
      <c r="E40">
        <v>3</v>
      </c>
      <c r="F40">
        <v>20298</v>
      </c>
      <c r="G40">
        <v>6787</v>
      </c>
      <c r="H40" s="2">
        <f t="shared" si="0"/>
        <v>0.115384615384615</v>
      </c>
      <c r="I40" s="2">
        <f t="shared" si="1"/>
        <v>0.33436791802148</v>
      </c>
      <c r="J40" s="3">
        <v>0</v>
      </c>
      <c r="K40" s="5">
        <v>0</v>
      </c>
      <c r="L40" s="2">
        <f t="shared" si="2"/>
        <v>0</v>
      </c>
    </row>
    <row r="41" spans="1:12">
      <c r="A41" t="s">
        <v>63</v>
      </c>
      <c r="B41" t="s">
        <v>11</v>
      </c>
      <c r="C41" s="1">
        <v>45968</v>
      </c>
      <c r="D41">
        <v>4</v>
      </c>
      <c r="E41">
        <v>7</v>
      </c>
      <c r="F41">
        <v>167</v>
      </c>
      <c r="G41">
        <v>241</v>
      </c>
      <c r="H41" s="2">
        <f t="shared" si="0"/>
        <v>1.75</v>
      </c>
      <c r="I41" s="2">
        <f t="shared" si="1"/>
        <v>1.44311377245509</v>
      </c>
      <c r="J41" s="3">
        <v>0</v>
      </c>
      <c r="K41" s="5">
        <v>0</v>
      </c>
      <c r="L41" s="2">
        <f t="shared" si="2"/>
        <v>0</v>
      </c>
    </row>
    <row r="42" spans="1:12">
      <c r="A42" t="s">
        <v>64</v>
      </c>
      <c r="B42" t="s">
        <v>11</v>
      </c>
      <c r="C42" s="1">
        <v>45937</v>
      </c>
      <c r="D42">
        <v>26</v>
      </c>
      <c r="E42">
        <v>5</v>
      </c>
      <c r="F42">
        <v>993</v>
      </c>
      <c r="G42">
        <v>654</v>
      </c>
      <c r="H42" s="2">
        <f t="shared" si="0"/>
        <v>0.192307692307692</v>
      </c>
      <c r="I42" s="2">
        <f t="shared" si="1"/>
        <v>0.658610271903323</v>
      </c>
      <c r="J42" s="3">
        <v>0</v>
      </c>
      <c r="K42" s="5">
        <v>0</v>
      </c>
      <c r="L42" s="2">
        <f t="shared" si="2"/>
        <v>0</v>
      </c>
    </row>
    <row r="43" spans="1:12">
      <c r="A43" t="s">
        <v>65</v>
      </c>
      <c r="B43" t="s">
        <v>11</v>
      </c>
      <c r="C43" s="1">
        <v>45933</v>
      </c>
      <c r="D43">
        <v>24</v>
      </c>
      <c r="E43">
        <v>1</v>
      </c>
      <c r="F43">
        <v>356</v>
      </c>
      <c r="G43">
        <v>539</v>
      </c>
      <c r="H43" s="2">
        <f t="shared" si="0"/>
        <v>0.0416666666666667</v>
      </c>
      <c r="I43" s="2">
        <f t="shared" si="1"/>
        <v>1.51404494382022</v>
      </c>
      <c r="J43" s="3">
        <v>0</v>
      </c>
      <c r="K43" s="5">
        <v>0</v>
      </c>
      <c r="L43" s="2">
        <f t="shared" si="2"/>
        <v>0</v>
      </c>
    </row>
    <row r="44" spans="1:12">
      <c r="A44" t="s">
        <v>66</v>
      </c>
      <c r="B44" t="s">
        <v>11</v>
      </c>
      <c r="C44" s="1">
        <v>45930</v>
      </c>
      <c r="D44">
        <v>13</v>
      </c>
      <c r="E44">
        <v>2</v>
      </c>
      <c r="F44">
        <v>409</v>
      </c>
      <c r="G44">
        <v>314</v>
      </c>
      <c r="H44" s="2">
        <f t="shared" si="0"/>
        <v>0.153846153846154</v>
      </c>
      <c r="I44" s="2">
        <f t="shared" si="1"/>
        <v>0.767726161369193</v>
      </c>
      <c r="J44" s="3">
        <v>6</v>
      </c>
      <c r="K44" s="5">
        <v>0</v>
      </c>
      <c r="L44" s="2">
        <f t="shared" si="2"/>
        <v>0</v>
      </c>
    </row>
    <row r="45" spans="1:12">
      <c r="A45" t="s">
        <v>67</v>
      </c>
      <c r="B45" t="s">
        <v>11</v>
      </c>
      <c r="C45" s="1">
        <v>45927</v>
      </c>
      <c r="D45">
        <v>6</v>
      </c>
      <c r="E45">
        <v>1</v>
      </c>
      <c r="F45">
        <v>239</v>
      </c>
      <c r="G45">
        <v>680</v>
      </c>
      <c r="H45" s="2">
        <f t="shared" si="0"/>
        <v>0.166666666666667</v>
      </c>
      <c r="I45" s="2">
        <f t="shared" si="1"/>
        <v>2.84518828451883</v>
      </c>
      <c r="J45" s="3">
        <v>6</v>
      </c>
      <c r="K45" s="5">
        <v>1</v>
      </c>
      <c r="L45" s="2">
        <f t="shared" si="2"/>
        <v>0.166666666666667</v>
      </c>
    </row>
    <row r="46" spans="1:12">
      <c r="A46" t="s">
        <v>68</v>
      </c>
      <c r="B46" t="s">
        <v>11</v>
      </c>
      <c r="C46" s="1">
        <v>45899</v>
      </c>
      <c r="D46">
        <v>4</v>
      </c>
      <c r="E46">
        <v>1</v>
      </c>
      <c r="F46">
        <v>805</v>
      </c>
      <c r="G46">
        <v>538</v>
      </c>
      <c r="H46" s="2">
        <f t="shared" si="0"/>
        <v>0.25</v>
      </c>
      <c r="I46" s="2">
        <f t="shared" si="1"/>
        <v>0.66832298136646</v>
      </c>
      <c r="J46" s="3">
        <v>0</v>
      </c>
      <c r="K46" s="5">
        <v>0</v>
      </c>
      <c r="L46" s="2">
        <f t="shared" si="2"/>
        <v>0</v>
      </c>
    </row>
    <row r="47" spans="1:12">
      <c r="A47" t="s">
        <v>69</v>
      </c>
      <c r="B47" t="s">
        <v>70</v>
      </c>
      <c r="C47" s="1">
        <v>45895</v>
      </c>
      <c r="D47">
        <v>3</v>
      </c>
      <c r="E47">
        <v>1</v>
      </c>
      <c r="F47">
        <v>241</v>
      </c>
      <c r="G47">
        <v>508</v>
      </c>
      <c r="H47" s="2">
        <f t="shared" si="0"/>
        <v>0.333333333333333</v>
      </c>
      <c r="I47" s="2">
        <f t="shared" si="1"/>
        <v>2.10788381742739</v>
      </c>
      <c r="J47" s="3">
        <v>0</v>
      </c>
      <c r="K47" s="5">
        <v>0</v>
      </c>
      <c r="L47" s="2">
        <f t="shared" si="2"/>
        <v>0</v>
      </c>
    </row>
    <row r="48" spans="1:12">
      <c r="A48" t="s">
        <v>71</v>
      </c>
      <c r="B48" t="s">
        <v>11</v>
      </c>
      <c r="C48" s="1">
        <v>45894</v>
      </c>
      <c r="D48">
        <v>12</v>
      </c>
      <c r="E48">
        <v>3</v>
      </c>
      <c r="F48">
        <v>2127</v>
      </c>
      <c r="G48">
        <v>485</v>
      </c>
      <c r="H48" s="2">
        <f t="shared" si="0"/>
        <v>0.25</v>
      </c>
      <c r="I48" s="2">
        <f t="shared" si="1"/>
        <v>0.228020686412788</v>
      </c>
      <c r="J48" s="3">
        <v>5</v>
      </c>
      <c r="K48" s="5">
        <v>0</v>
      </c>
      <c r="L48" s="2">
        <f t="shared" si="2"/>
        <v>0</v>
      </c>
    </row>
    <row r="49" spans="1:12">
      <c r="A49" t="s">
        <v>72</v>
      </c>
      <c r="B49" t="s">
        <v>11</v>
      </c>
      <c r="C49" s="1">
        <v>45888</v>
      </c>
      <c r="D49">
        <v>0</v>
      </c>
      <c r="E49">
        <v>1</v>
      </c>
      <c r="F49">
        <v>353</v>
      </c>
      <c r="G49">
        <v>491</v>
      </c>
      <c r="H49" s="2" t="e">
        <f t="shared" si="0"/>
        <v>#DIV/0!</v>
      </c>
      <c r="I49" s="2">
        <f t="shared" si="1"/>
        <v>1.39093484419263</v>
      </c>
      <c r="J49" s="3">
        <v>0</v>
      </c>
      <c r="K49" s="5">
        <v>0</v>
      </c>
      <c r="L49" s="2">
        <f t="shared" si="2"/>
        <v>0</v>
      </c>
    </row>
    <row r="50" spans="1:12">
      <c r="A50" t="s">
        <v>73</v>
      </c>
      <c r="B50" t="s">
        <v>11</v>
      </c>
      <c r="C50" s="1">
        <v>45862</v>
      </c>
      <c r="D50">
        <v>15</v>
      </c>
      <c r="E50">
        <v>1</v>
      </c>
      <c r="F50">
        <v>16859</v>
      </c>
      <c r="G50">
        <v>804</v>
      </c>
      <c r="H50" s="2">
        <f t="shared" si="0"/>
        <v>0.0666666666666667</v>
      </c>
      <c r="I50" s="2">
        <f t="shared" si="1"/>
        <v>0.0476896613084999</v>
      </c>
      <c r="J50" s="3">
        <v>2</v>
      </c>
      <c r="K50" s="5">
        <v>0</v>
      </c>
      <c r="L50" s="2">
        <f t="shared" si="2"/>
        <v>0</v>
      </c>
    </row>
    <row r="51" spans="1:12">
      <c r="A51" t="s">
        <v>74</v>
      </c>
      <c r="B51" t="s">
        <v>11</v>
      </c>
      <c r="C51" s="1">
        <v>45847</v>
      </c>
      <c r="D51">
        <v>12</v>
      </c>
      <c r="E51">
        <v>2</v>
      </c>
      <c r="F51">
        <v>446</v>
      </c>
      <c r="G51">
        <v>248</v>
      </c>
      <c r="H51" s="2">
        <f t="shared" si="0"/>
        <v>0.166666666666667</v>
      </c>
      <c r="I51" s="2">
        <f t="shared" si="1"/>
        <v>0.556053811659193</v>
      </c>
      <c r="J51" s="3">
        <v>0</v>
      </c>
      <c r="K51" s="5">
        <v>0</v>
      </c>
      <c r="L51" s="2">
        <f t="shared" si="2"/>
        <v>0</v>
      </c>
    </row>
    <row r="52" spans="11:11">
      <c r="K52">
        <f>SUM(K2:K51)</f>
        <v>1730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topLeftCell="A31" workbookViewId="0">
      <selection activeCell="K2" sqref="K2"/>
    </sheetView>
  </sheetViews>
  <sheetFormatPr defaultColWidth="10" defaultRowHeight="14.4"/>
  <cols>
    <col min="1" max="1" width="63.7777777777778" customWidth="1"/>
    <col min="2" max="2" width="2.44444444444444" customWidth="1"/>
    <col min="4" max="7" width="5.88888888888889" customWidth="1"/>
    <col min="8" max="9" width="6.77777777777778" customWidth="1"/>
    <col min="10" max="10" width="7.66666666666667" customWidth="1"/>
    <col min="11" max="12" width="6.77777777777778" customWidth="1"/>
    <col min="13" max="13" width="20.3333333333333" customWidth="1"/>
    <col min="14" max="14" width="20.22222222222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3" t="s">
        <v>7</v>
      </c>
      <c r="K1" s="3" t="s">
        <v>8</v>
      </c>
      <c r="M1" s="4" t="s">
        <v>9</v>
      </c>
    </row>
    <row r="2" spans="1:13">
      <c r="A2" t="s">
        <v>75</v>
      </c>
      <c r="B2" t="s">
        <v>13</v>
      </c>
      <c r="C2" s="1">
        <v>46204</v>
      </c>
      <c r="D2">
        <v>346</v>
      </c>
      <c r="E2">
        <v>183</v>
      </c>
      <c r="F2">
        <v>346</v>
      </c>
      <c r="G2">
        <v>183</v>
      </c>
      <c r="H2" s="2">
        <f t="shared" ref="H2:H47" si="0">E2/D2</f>
        <v>0.528901734104046</v>
      </c>
      <c r="I2" s="2">
        <f t="shared" ref="I2:I47" si="1">G2/F2</f>
        <v>0.528901734104046</v>
      </c>
      <c r="J2" s="3">
        <f ca="1">F2-IFERROR(VLOOKUP($A2,'0701'!$A$1:'0701'!G$79,6,FALSE),IFERROR(VLOOKUP($C2,'0701'!$C$1:'0701'!G$79,4,FALSE),F2-D2))</f>
        <v>346</v>
      </c>
      <c r="K2" s="5">
        <f ca="1">G2-IFERROR(VLOOKUP($A2,'0701'!$A$1:'0701'!H$79,7,FALSE),IFERROR(VLOOKUP($C2,'0701'!$C$1:'0701'!H$79,5,FALSE),G2-E2))</f>
        <v>183</v>
      </c>
      <c r="L2" s="2">
        <f ca="1" t="shared" ref="L2:L47" si="2">IFERROR(K2/J2,)</f>
        <v>0.528901734104046</v>
      </c>
      <c r="M2" s="4"/>
    </row>
    <row r="3" spans="1:13">
      <c r="A3" t="s">
        <v>76</v>
      </c>
      <c r="B3" t="s">
        <v>11</v>
      </c>
      <c r="C3" s="1">
        <v>46204</v>
      </c>
      <c r="D3">
        <v>58</v>
      </c>
      <c r="E3">
        <v>218</v>
      </c>
      <c r="F3">
        <v>58</v>
      </c>
      <c r="G3">
        <v>218</v>
      </c>
      <c r="H3" s="2">
        <f t="shared" si="0"/>
        <v>3.75862068965517</v>
      </c>
      <c r="I3" s="2">
        <f t="shared" si="1"/>
        <v>3.75862068965517</v>
      </c>
      <c r="J3" s="3">
        <f ca="1">F3-IFERROR(VLOOKUP($A3,'0701'!$A$1:'0701'!G$79,6,FALSE),IFERROR(VLOOKUP($C3,'0701'!$C$1:'0701'!G$79,4,FALSE),F3-D3))</f>
        <v>58</v>
      </c>
      <c r="K3" s="5">
        <f ca="1">G3-IFERROR(VLOOKUP($A3,'0701'!$A$1:'0701'!H$79,7,FALSE),IFERROR(VLOOKUP($C3,'0701'!$C$1:'0701'!H$79,5,FALSE),G3-E3))</f>
        <v>218</v>
      </c>
      <c r="L3" s="2">
        <f ca="1" t="shared" si="2"/>
        <v>3.75862068965517</v>
      </c>
      <c r="M3" s="4"/>
    </row>
    <row r="4" spans="1:13">
      <c r="A4" t="s">
        <v>10</v>
      </c>
      <c r="B4" t="s">
        <v>11</v>
      </c>
      <c r="C4" s="1">
        <v>46203</v>
      </c>
      <c r="D4">
        <v>67</v>
      </c>
      <c r="E4">
        <v>604</v>
      </c>
      <c r="F4">
        <v>67</v>
      </c>
      <c r="G4">
        <v>604</v>
      </c>
      <c r="H4" s="2">
        <f t="shared" si="0"/>
        <v>9.01492537313433</v>
      </c>
      <c r="I4" s="2">
        <f t="shared" si="1"/>
        <v>9.01492537313433</v>
      </c>
      <c r="J4" s="3">
        <f ca="1">F4-IFERROR(VLOOKUP($A4,'0701'!$A$1:'0701'!G$79,6,FALSE),IFERROR(VLOOKUP($C4,'0701'!$C$1:'0701'!G$79,4,FALSE),F4-D4))</f>
        <v>42</v>
      </c>
      <c r="K4" s="5">
        <f ca="1">G4-IFERROR(VLOOKUP($A4,'0701'!$A$1:'0701'!H$79,7,FALSE),IFERROR(VLOOKUP($C4,'0701'!$C$1:'0701'!H$79,5,FALSE),G4-E4))</f>
        <v>134</v>
      </c>
      <c r="L4" s="2">
        <f ca="1" t="shared" si="2"/>
        <v>3.19047619047619</v>
      </c>
      <c r="M4" s="4"/>
    </row>
    <row r="5" spans="1:13">
      <c r="A5" t="s">
        <v>12</v>
      </c>
      <c r="B5" t="s">
        <v>13</v>
      </c>
      <c r="C5" s="1">
        <v>46203</v>
      </c>
      <c r="D5">
        <v>603</v>
      </c>
      <c r="E5">
        <v>107</v>
      </c>
      <c r="F5">
        <v>603</v>
      </c>
      <c r="G5">
        <v>107</v>
      </c>
      <c r="H5" s="2">
        <f t="shared" si="0"/>
        <v>0.177446102819237</v>
      </c>
      <c r="I5" s="2">
        <f t="shared" si="1"/>
        <v>0.177446102819237</v>
      </c>
      <c r="J5" s="3">
        <f ca="1">F5-IFERROR(VLOOKUP($A5,'0701'!$A$1:'0701'!G$79,6,FALSE),IFERROR(VLOOKUP($C5,'0701'!$C$1:'0701'!G$79,4,FALSE),F5-D5))</f>
        <v>221</v>
      </c>
      <c r="K5" s="5">
        <f ca="1">G5-IFERROR(VLOOKUP($A5,'0701'!$A$1:'0701'!H$79,7,FALSE),IFERROR(VLOOKUP($C5,'0701'!$C$1:'0701'!H$79,5,FALSE),G5-E5))</f>
        <v>14</v>
      </c>
      <c r="L5" s="2">
        <f ca="1" t="shared" si="2"/>
        <v>0.0633484162895928</v>
      </c>
      <c r="M5" s="4"/>
    </row>
    <row r="6" spans="1:13">
      <c r="A6" t="s">
        <v>14</v>
      </c>
      <c r="B6" t="s">
        <v>11</v>
      </c>
      <c r="C6" s="1">
        <v>46202</v>
      </c>
      <c r="D6">
        <v>89</v>
      </c>
      <c r="E6">
        <v>833</v>
      </c>
      <c r="F6">
        <v>89</v>
      </c>
      <c r="G6">
        <v>833</v>
      </c>
      <c r="H6" s="2">
        <f t="shared" si="0"/>
        <v>9.35955056179775</v>
      </c>
      <c r="I6" s="2">
        <f t="shared" si="1"/>
        <v>9.35955056179775</v>
      </c>
      <c r="J6" s="3">
        <f ca="1">F6-IFERROR(VLOOKUP($A6,'0701'!$A$1:'0701'!G$79,6,FALSE),IFERROR(VLOOKUP($C6,'0701'!$C$1:'0701'!G$79,4,FALSE),F6-D6))</f>
        <v>11</v>
      </c>
      <c r="K6" s="5">
        <f ca="1">G6-IFERROR(VLOOKUP($A6,'0701'!$A$1:'0701'!H$79,7,FALSE),IFERROR(VLOOKUP($C6,'0701'!$C$1:'0701'!H$79,5,FALSE),G6-E6))</f>
        <v>19</v>
      </c>
      <c r="L6" s="2">
        <f ca="1" t="shared" si="2"/>
        <v>1.72727272727273</v>
      </c>
      <c r="M6" s="4"/>
    </row>
    <row r="7" spans="1:13">
      <c r="A7" t="s">
        <v>15</v>
      </c>
      <c r="B7" t="s">
        <v>13</v>
      </c>
      <c r="C7" s="1">
        <v>46202</v>
      </c>
      <c r="D7">
        <v>451</v>
      </c>
      <c r="E7">
        <v>205</v>
      </c>
      <c r="F7">
        <v>451</v>
      </c>
      <c r="G7">
        <v>205</v>
      </c>
      <c r="H7" s="2">
        <f t="shared" si="0"/>
        <v>0.454545454545455</v>
      </c>
      <c r="I7" s="2">
        <f t="shared" si="1"/>
        <v>0.454545454545455</v>
      </c>
      <c r="J7" s="3">
        <f ca="1">F7-IFERROR(VLOOKUP($A7,'0701'!$A$1:'0701'!G$79,6,FALSE),IFERROR(VLOOKUP($C7,'0701'!$C$1:'0701'!G$79,4,FALSE),F7-D7))</f>
        <v>56</v>
      </c>
      <c r="K7" s="5">
        <f ca="1">G7-IFERROR(VLOOKUP($A7,'0701'!$A$1:'0701'!H$79,7,FALSE),IFERROR(VLOOKUP($C7,'0701'!$C$1:'0701'!H$79,5,FALSE),G7-E7))</f>
        <v>22</v>
      </c>
      <c r="L7" s="2">
        <f ca="1" t="shared" si="2"/>
        <v>0.392857142857143</v>
      </c>
      <c r="M7" s="4"/>
    </row>
    <row r="8" spans="1:13">
      <c r="A8" t="s">
        <v>16</v>
      </c>
      <c r="B8" t="s">
        <v>13</v>
      </c>
      <c r="C8" s="1">
        <v>46201</v>
      </c>
      <c r="D8">
        <v>404</v>
      </c>
      <c r="E8">
        <v>310</v>
      </c>
      <c r="F8">
        <v>404</v>
      </c>
      <c r="G8">
        <v>310</v>
      </c>
      <c r="H8" s="2">
        <f t="shared" si="0"/>
        <v>0.767326732673267</v>
      </c>
      <c r="I8" s="2">
        <f t="shared" si="1"/>
        <v>0.767326732673267</v>
      </c>
      <c r="J8" s="3">
        <f ca="1">F8-IFERROR(VLOOKUP($A8,'0701'!$A$1:'0701'!G$79,6,FALSE),IFERROR(VLOOKUP($C8,'0701'!$C$1:'0701'!G$79,4,FALSE),F8-D8))</f>
        <v>40</v>
      </c>
      <c r="K8" s="5">
        <f ca="1">G8-IFERROR(VLOOKUP($A8,'0701'!$A$1:'0701'!H$79,7,FALSE),IFERROR(VLOOKUP($C8,'0701'!$C$1:'0701'!H$79,5,FALSE),G8-E8))</f>
        <v>0</v>
      </c>
      <c r="L8" s="2">
        <f ca="1" t="shared" si="2"/>
        <v>0</v>
      </c>
      <c r="M8" s="4"/>
    </row>
    <row r="9" spans="1:13">
      <c r="A9" t="s">
        <v>17</v>
      </c>
      <c r="B9" t="s">
        <v>11</v>
      </c>
      <c r="C9" s="1">
        <v>46201</v>
      </c>
      <c r="D9">
        <v>286</v>
      </c>
      <c r="E9">
        <v>967</v>
      </c>
      <c r="F9">
        <v>286</v>
      </c>
      <c r="G9">
        <v>967</v>
      </c>
      <c r="H9" s="2">
        <f t="shared" si="0"/>
        <v>3.38111888111888</v>
      </c>
      <c r="I9" s="2">
        <f t="shared" si="1"/>
        <v>3.38111888111888</v>
      </c>
      <c r="J9" s="3">
        <f ca="1">F9-IFERROR(VLOOKUP($A9,'0701'!$A$1:'0701'!G$79,6,FALSE),IFERROR(VLOOKUP($C9,'0701'!$C$1:'0701'!G$79,4,FALSE),F9-D9))</f>
        <v>30</v>
      </c>
      <c r="K9" s="5">
        <f ca="1">G9-IFERROR(VLOOKUP($A9,'0701'!$A$1:'0701'!H$79,7,FALSE),IFERROR(VLOOKUP($C9,'0701'!$C$1:'0701'!H$79,5,FALSE),G9-E9))</f>
        <v>0</v>
      </c>
      <c r="L9" s="2">
        <f ca="1" t="shared" si="2"/>
        <v>0</v>
      </c>
      <c r="M9" s="4"/>
    </row>
    <row r="10" spans="1:13">
      <c r="A10" t="s">
        <v>18</v>
      </c>
      <c r="B10" t="s">
        <v>11</v>
      </c>
      <c r="C10" s="1">
        <v>46200</v>
      </c>
      <c r="D10">
        <v>112</v>
      </c>
      <c r="E10">
        <v>365</v>
      </c>
      <c r="F10">
        <v>112</v>
      </c>
      <c r="G10">
        <v>365</v>
      </c>
      <c r="H10" s="2">
        <f t="shared" si="0"/>
        <v>3.25892857142857</v>
      </c>
      <c r="I10" s="2">
        <f t="shared" si="1"/>
        <v>3.25892857142857</v>
      </c>
      <c r="J10" s="3">
        <f ca="1">F10-IFERROR(VLOOKUP($A10,'0701'!$A$1:'0701'!G$79,6,FALSE),IFERROR(VLOOKUP($C10,'0701'!$C$1:'0701'!G$79,4,FALSE),F10-D10))</f>
        <v>21</v>
      </c>
      <c r="K10" s="5">
        <f ca="1">G10-IFERROR(VLOOKUP($A10,'0701'!$A$1:'0701'!H$79,7,FALSE),IFERROR(VLOOKUP($C10,'0701'!$C$1:'0701'!H$79,5,FALSE),G10-E10))</f>
        <v>12</v>
      </c>
      <c r="L10" s="2">
        <f ca="1" t="shared" si="2"/>
        <v>0.571428571428571</v>
      </c>
      <c r="M10" s="4"/>
    </row>
    <row r="11" spans="1:13">
      <c r="A11" t="s">
        <v>19</v>
      </c>
      <c r="B11" t="s">
        <v>11</v>
      </c>
      <c r="C11" s="1">
        <v>46199</v>
      </c>
      <c r="D11">
        <v>115</v>
      </c>
      <c r="E11">
        <v>430</v>
      </c>
      <c r="F11">
        <v>115</v>
      </c>
      <c r="G11">
        <v>430</v>
      </c>
      <c r="H11" s="2">
        <f t="shared" si="0"/>
        <v>3.73913043478261</v>
      </c>
      <c r="I11" s="2">
        <f t="shared" si="1"/>
        <v>3.73913043478261</v>
      </c>
      <c r="J11" s="3">
        <f ca="1">F11-IFERROR(VLOOKUP($A11,'0701'!$A$1:'0701'!G$79,6,FALSE),IFERROR(VLOOKUP($C11,'0701'!$C$1:'0701'!G$79,4,FALSE),F11-D11))</f>
        <v>0</v>
      </c>
      <c r="K11" s="5">
        <f ca="1">G11-IFERROR(VLOOKUP($A11,'0701'!$A$1:'0701'!H$79,7,FALSE),IFERROR(VLOOKUP($C11,'0701'!$C$1:'0701'!H$79,5,FALSE),G11-E11))</f>
        <v>0</v>
      </c>
      <c r="L11" s="2">
        <f ca="1" t="shared" si="2"/>
        <v>0</v>
      </c>
      <c r="M11" s="4"/>
    </row>
    <row r="12" spans="1:13">
      <c r="A12" t="s">
        <v>20</v>
      </c>
      <c r="B12" t="s">
        <v>13</v>
      </c>
      <c r="C12" s="1">
        <v>46199</v>
      </c>
      <c r="D12">
        <v>583</v>
      </c>
      <c r="E12">
        <v>198</v>
      </c>
      <c r="F12">
        <v>583</v>
      </c>
      <c r="G12">
        <v>198</v>
      </c>
      <c r="H12" s="2">
        <f t="shared" si="0"/>
        <v>0.339622641509434</v>
      </c>
      <c r="I12" s="2">
        <f t="shared" si="1"/>
        <v>0.339622641509434</v>
      </c>
      <c r="J12" s="3">
        <f ca="1">F12-IFERROR(VLOOKUP($A12,'0701'!$A$1:'0701'!G$79,6,FALSE),IFERROR(VLOOKUP($C12,'0701'!$C$1:'0701'!G$79,4,FALSE),F12-D12))</f>
        <v>8</v>
      </c>
      <c r="K12" s="5">
        <f ca="1">G12-IFERROR(VLOOKUP($A12,'0701'!$A$1:'0701'!H$79,7,FALSE),IFERROR(VLOOKUP($C12,'0701'!$C$1:'0701'!H$79,5,FALSE),G12-E12))</f>
        <v>0</v>
      </c>
      <c r="L12" s="2">
        <f ca="1" t="shared" si="2"/>
        <v>0</v>
      </c>
      <c r="M12" s="4"/>
    </row>
    <row r="13" spans="1:13">
      <c r="A13" t="s">
        <v>21</v>
      </c>
      <c r="B13" t="s">
        <v>11</v>
      </c>
      <c r="C13" s="1">
        <v>46198</v>
      </c>
      <c r="D13">
        <v>180</v>
      </c>
      <c r="E13">
        <v>1368</v>
      </c>
      <c r="F13">
        <v>180</v>
      </c>
      <c r="G13">
        <v>1368</v>
      </c>
      <c r="H13" s="2">
        <f t="shared" si="0"/>
        <v>7.6</v>
      </c>
      <c r="I13" s="2">
        <f t="shared" si="1"/>
        <v>7.6</v>
      </c>
      <c r="J13" s="3">
        <f ca="1">F13-IFERROR(VLOOKUP($A13,'0701'!$A$1:'0701'!G$79,6,FALSE),IFERROR(VLOOKUP($C13,'0701'!$C$1:'0701'!G$79,4,FALSE),F13-D13))</f>
        <v>14</v>
      </c>
      <c r="K13" s="5">
        <f ca="1">G13-IFERROR(VLOOKUP($A13,'0701'!$A$1:'0701'!H$79,7,FALSE),IFERROR(VLOOKUP($C13,'0701'!$C$1:'0701'!H$79,5,FALSE),G13-E13))</f>
        <v>95</v>
      </c>
      <c r="L13" s="2">
        <f ca="1" t="shared" si="2"/>
        <v>6.78571428571429</v>
      </c>
      <c r="M13" s="4"/>
    </row>
    <row r="14" spans="1:14">
      <c r="A14" t="s">
        <v>22</v>
      </c>
      <c r="B14" t="s">
        <v>11</v>
      </c>
      <c r="C14" s="1">
        <v>46197</v>
      </c>
      <c r="D14">
        <v>79</v>
      </c>
      <c r="E14">
        <v>379</v>
      </c>
      <c r="F14">
        <v>120</v>
      </c>
      <c r="G14">
        <v>644</v>
      </c>
      <c r="H14" s="2">
        <f t="shared" si="0"/>
        <v>4.79746835443038</v>
      </c>
      <c r="I14" s="2">
        <f t="shared" si="1"/>
        <v>5.36666666666667</v>
      </c>
      <c r="J14" s="3">
        <f ca="1">F14-IFERROR(VLOOKUP($A14,'0701'!$A$1:'0701'!G$79,6,FALSE),IFERROR(VLOOKUP($C14,'0701'!$C$1:'0701'!G$79,4,FALSE),F14-D14))</f>
        <v>7</v>
      </c>
      <c r="K14" s="5">
        <f ca="1">G14-IFERROR(VLOOKUP($A14,'0701'!$A$1:'0701'!H$79,7,FALSE),IFERROR(VLOOKUP($C14,'0701'!$C$1:'0701'!H$79,5,FALSE),G14-E14))</f>
        <v>70</v>
      </c>
      <c r="L14" s="2">
        <f ca="1" t="shared" si="2"/>
        <v>10</v>
      </c>
      <c r="M14" s="4" t="s">
        <v>23</v>
      </c>
      <c r="N14" t="s">
        <v>77</v>
      </c>
    </row>
    <row r="15" spans="1:13">
      <c r="A15" t="s">
        <v>24</v>
      </c>
      <c r="B15" t="s">
        <v>13</v>
      </c>
      <c r="C15" s="1">
        <v>46196</v>
      </c>
      <c r="D15">
        <v>186</v>
      </c>
      <c r="E15">
        <v>30</v>
      </c>
      <c r="F15">
        <v>913</v>
      </c>
      <c r="G15">
        <v>281</v>
      </c>
      <c r="H15" s="2">
        <f t="shared" si="0"/>
        <v>0.161290322580645</v>
      </c>
      <c r="I15" s="2">
        <f t="shared" si="1"/>
        <v>0.307776560788609</v>
      </c>
      <c r="J15" s="3">
        <f ca="1">F15-IFERROR(VLOOKUP($A15,'0701'!$A$1:'0701'!G$79,6,FALSE),IFERROR(VLOOKUP($C15,'0701'!$C$1:'0701'!G$79,4,FALSE),F15-D15))</f>
        <v>12</v>
      </c>
      <c r="K15" s="5">
        <f ca="1">G15-IFERROR(VLOOKUP($A15,'0701'!$A$1:'0701'!H$79,7,FALSE),IFERROR(VLOOKUP($C15,'0701'!$C$1:'0701'!H$79,5,FALSE),G15-E15))</f>
        <v>10</v>
      </c>
      <c r="L15" s="2">
        <f ca="1" t="shared" si="2"/>
        <v>0.833333333333333</v>
      </c>
      <c r="M15" s="4"/>
    </row>
    <row r="16" spans="1:13">
      <c r="A16" t="s">
        <v>25</v>
      </c>
      <c r="B16" t="s">
        <v>11</v>
      </c>
      <c r="C16" s="1">
        <v>46196</v>
      </c>
      <c r="D16">
        <v>62</v>
      </c>
      <c r="E16">
        <v>191</v>
      </c>
      <c r="F16">
        <v>175</v>
      </c>
      <c r="G16">
        <v>1158</v>
      </c>
      <c r="H16" s="2">
        <f t="shared" si="0"/>
        <v>3.08064516129032</v>
      </c>
      <c r="I16" s="2">
        <f t="shared" si="1"/>
        <v>6.61714285714286</v>
      </c>
      <c r="J16" s="3">
        <f ca="1">F16-IFERROR(VLOOKUP($A16,'0701'!$A$1:'0701'!G$79,6,FALSE),IFERROR(VLOOKUP($C16,'0701'!$C$1:'0701'!G$79,4,FALSE),F16-D16))</f>
        <v>4</v>
      </c>
      <c r="K16" s="5">
        <f ca="1">G16-IFERROR(VLOOKUP($A16,'0701'!$A$1:'0701'!H$79,7,FALSE),IFERROR(VLOOKUP($C16,'0701'!$C$1:'0701'!H$79,5,FALSE),G16-E16))</f>
        <v>0</v>
      </c>
      <c r="L16" s="2">
        <f ca="1" t="shared" si="2"/>
        <v>0</v>
      </c>
      <c r="M16" s="4" t="s">
        <v>78</v>
      </c>
    </row>
    <row r="17" spans="1:13">
      <c r="A17" t="s">
        <v>26</v>
      </c>
      <c r="B17" t="s">
        <v>11</v>
      </c>
      <c r="C17" s="1">
        <v>46195</v>
      </c>
      <c r="D17">
        <v>59</v>
      </c>
      <c r="E17">
        <v>336</v>
      </c>
      <c r="F17">
        <v>144</v>
      </c>
      <c r="G17">
        <v>707</v>
      </c>
      <c r="H17" s="2">
        <f t="shared" si="0"/>
        <v>5.69491525423729</v>
      </c>
      <c r="I17" s="2">
        <f t="shared" si="1"/>
        <v>4.90972222222222</v>
      </c>
      <c r="J17" s="3">
        <f ca="1">F17-IFERROR(VLOOKUP($A17,'0701'!$A$1:'0701'!G$79,6,FALSE),IFERROR(VLOOKUP($C17,'0701'!$C$1:'0701'!G$79,4,FALSE),F17-D17))</f>
        <v>17</v>
      </c>
      <c r="K17" s="5">
        <f ca="1">G17-IFERROR(VLOOKUP($A17,'0701'!$A$1:'0701'!H$79,7,FALSE),IFERROR(VLOOKUP($C17,'0701'!$C$1:'0701'!H$79,5,FALSE),G17-E17))</f>
        <v>130</v>
      </c>
      <c r="L17" s="2">
        <f ca="1" t="shared" si="2"/>
        <v>7.64705882352941</v>
      </c>
      <c r="M17" s="4" t="s">
        <v>27</v>
      </c>
    </row>
    <row r="18" spans="1:14">
      <c r="A18" t="s">
        <v>28</v>
      </c>
      <c r="B18" t="s">
        <v>11</v>
      </c>
      <c r="C18" s="1">
        <v>46194</v>
      </c>
      <c r="D18">
        <v>29</v>
      </c>
      <c r="E18">
        <v>267</v>
      </c>
      <c r="F18">
        <v>151</v>
      </c>
      <c r="G18">
        <v>1024</v>
      </c>
      <c r="H18" s="2">
        <f t="shared" si="0"/>
        <v>9.20689655172414</v>
      </c>
      <c r="I18" s="2">
        <f t="shared" si="1"/>
        <v>6.78145695364238</v>
      </c>
      <c r="J18" s="3">
        <f ca="1">F18-IFERROR(VLOOKUP($A18,'0701'!$A$1:'0701'!G$79,6,FALSE),IFERROR(VLOOKUP($C18,'0701'!$C$1:'0701'!G$79,4,FALSE),F18-D18))</f>
        <v>1</v>
      </c>
      <c r="K18" s="5">
        <f ca="1">G18-IFERROR(VLOOKUP($A18,'0701'!$A$1:'0701'!H$79,7,FALSE),IFERROR(VLOOKUP($C18,'0701'!$C$1:'0701'!H$79,5,FALSE),G18-E18))</f>
        <v>0</v>
      </c>
      <c r="L18" s="2">
        <f ca="1" t="shared" si="2"/>
        <v>0</v>
      </c>
      <c r="M18" s="4" t="s">
        <v>29</v>
      </c>
      <c r="N18" t="s">
        <v>30</v>
      </c>
    </row>
    <row r="19" spans="1:13">
      <c r="A19" t="s">
        <v>31</v>
      </c>
      <c r="B19" t="s">
        <v>32</v>
      </c>
      <c r="C19" s="1">
        <v>46193</v>
      </c>
      <c r="D19">
        <v>19</v>
      </c>
      <c r="E19">
        <v>10</v>
      </c>
      <c r="F19">
        <v>143</v>
      </c>
      <c r="G19">
        <v>114</v>
      </c>
      <c r="H19" s="2">
        <f t="shared" si="0"/>
        <v>0.526315789473684</v>
      </c>
      <c r="I19" s="2">
        <f t="shared" si="1"/>
        <v>0.797202797202797</v>
      </c>
      <c r="J19" s="3">
        <f ca="1">F19-IFERROR(VLOOKUP($A19,'0701'!$A$1:'0701'!G$79,6,FALSE),IFERROR(VLOOKUP($C19,'0701'!$C$1:'0701'!G$79,4,FALSE),F19-D19))</f>
        <v>2</v>
      </c>
      <c r="K19" s="5">
        <f ca="1">G19-IFERROR(VLOOKUP($A19,'0701'!$A$1:'0701'!H$79,7,FALSE),IFERROR(VLOOKUP($C19,'0701'!$C$1:'0701'!H$79,5,FALSE),G19-E19))</f>
        <v>0</v>
      </c>
      <c r="L19" s="2">
        <f ca="1" t="shared" si="2"/>
        <v>0</v>
      </c>
      <c r="M19" s="4"/>
    </row>
    <row r="20" spans="1:14">
      <c r="A20" t="s">
        <v>33</v>
      </c>
      <c r="B20" t="s">
        <v>11</v>
      </c>
      <c r="C20" s="1">
        <v>46193</v>
      </c>
      <c r="D20">
        <v>54</v>
      </c>
      <c r="E20">
        <v>458</v>
      </c>
      <c r="F20">
        <v>149</v>
      </c>
      <c r="G20">
        <v>1617</v>
      </c>
      <c r="H20" s="2">
        <f t="shared" si="0"/>
        <v>8.48148148148148</v>
      </c>
      <c r="I20" s="2">
        <f t="shared" si="1"/>
        <v>10.8523489932886</v>
      </c>
      <c r="J20" s="3">
        <f ca="1">F20-IFERROR(VLOOKUP($A20,'0701'!$A$1:'0701'!G$79,6,FALSE),IFERROR(VLOOKUP($C20,'0701'!$C$1:'0701'!G$79,4,FALSE),F20-D20))</f>
        <v>0</v>
      </c>
      <c r="K20" s="5">
        <f ca="1">G20-IFERROR(VLOOKUP($A20,'0701'!$A$1:'0701'!H$79,7,FALSE),IFERROR(VLOOKUP($C20,'0701'!$C$1:'0701'!H$79,5,FALSE),G20-E20))</f>
        <v>0</v>
      </c>
      <c r="L20" s="2">
        <f ca="1" t="shared" si="2"/>
        <v>0</v>
      </c>
      <c r="M20" s="4" t="s">
        <v>34</v>
      </c>
      <c r="N20" t="s">
        <v>35</v>
      </c>
    </row>
    <row r="21" spans="1:13">
      <c r="A21" t="s">
        <v>36</v>
      </c>
      <c r="B21" t="s">
        <v>11</v>
      </c>
      <c r="C21" s="1">
        <v>46192</v>
      </c>
      <c r="D21">
        <v>326</v>
      </c>
      <c r="E21">
        <v>114</v>
      </c>
      <c r="F21">
        <v>1993</v>
      </c>
      <c r="G21">
        <v>1204</v>
      </c>
      <c r="H21" s="2">
        <f t="shared" si="0"/>
        <v>0.349693251533742</v>
      </c>
      <c r="I21" s="2">
        <f t="shared" si="1"/>
        <v>0.604114400401405</v>
      </c>
      <c r="J21" s="3">
        <f ca="1">F21-IFERROR(VLOOKUP($A21,'0701'!$A$1:'0701'!G$79,6,FALSE),IFERROR(VLOOKUP($C21,'0701'!$C$1:'0701'!G$79,4,FALSE),F21-D21))</f>
        <v>15</v>
      </c>
      <c r="K21" s="5">
        <f ca="1">G21-IFERROR(VLOOKUP($A21,'0701'!$A$1:'0701'!H$79,7,FALSE),IFERROR(VLOOKUP($C21,'0701'!$C$1:'0701'!H$79,5,FALSE),G21-E21))</f>
        <v>0</v>
      </c>
      <c r="L21" s="2">
        <f ca="1" t="shared" si="2"/>
        <v>0</v>
      </c>
      <c r="M21" s="4"/>
    </row>
    <row r="22" spans="1:13">
      <c r="A22" t="s">
        <v>37</v>
      </c>
      <c r="B22" t="s">
        <v>11</v>
      </c>
      <c r="C22" s="1">
        <v>46191</v>
      </c>
      <c r="D22">
        <v>103</v>
      </c>
      <c r="E22">
        <v>7</v>
      </c>
      <c r="F22">
        <v>378</v>
      </c>
      <c r="G22">
        <v>218</v>
      </c>
      <c r="H22" s="2">
        <f t="shared" si="0"/>
        <v>0.0679611650485437</v>
      </c>
      <c r="I22" s="2">
        <f t="shared" si="1"/>
        <v>0.576719576719577</v>
      </c>
      <c r="J22" s="3">
        <f ca="1">F22-IFERROR(VLOOKUP($A22,'0701'!$A$1:'0701'!G$79,6,FALSE),IFERROR(VLOOKUP($C22,'0701'!$C$1:'0701'!G$79,4,FALSE),F22-D22))</f>
        <v>11</v>
      </c>
      <c r="K22" s="5">
        <f ca="1">G22-IFERROR(VLOOKUP($A22,'0701'!$A$1:'0701'!H$79,7,FALSE),IFERROR(VLOOKUP($C22,'0701'!$C$1:'0701'!H$79,5,FALSE),G22-E22))</f>
        <v>0</v>
      </c>
      <c r="L22" s="2">
        <f ca="1" t="shared" si="2"/>
        <v>0</v>
      </c>
      <c r="M22" s="4"/>
    </row>
    <row r="23" spans="1:13">
      <c r="A23" t="s">
        <v>38</v>
      </c>
      <c r="B23" t="s">
        <v>11</v>
      </c>
      <c r="C23" s="1">
        <v>46190</v>
      </c>
      <c r="D23">
        <v>35</v>
      </c>
      <c r="E23">
        <v>1</v>
      </c>
      <c r="F23">
        <v>694</v>
      </c>
      <c r="G23">
        <v>6</v>
      </c>
      <c r="H23" s="2">
        <f t="shared" si="0"/>
        <v>0.0285714285714286</v>
      </c>
      <c r="I23" s="2">
        <f t="shared" si="1"/>
        <v>0.00864553314121038</v>
      </c>
      <c r="J23" s="3">
        <f ca="1">F23-IFERROR(VLOOKUP($A23,'0701'!$A$1:'0701'!G$79,6,FALSE),IFERROR(VLOOKUP($C23,'0701'!$C$1:'0701'!G$79,4,FALSE),F23-D23))</f>
        <v>3</v>
      </c>
      <c r="K23" s="5">
        <f ca="1">G23-IFERROR(VLOOKUP($A23,'0701'!$A$1:'0701'!H$79,7,FALSE),IFERROR(VLOOKUP($C23,'0701'!$C$1:'0701'!H$79,5,FALSE),G23-E23))</f>
        <v>0</v>
      </c>
      <c r="L23" s="2">
        <f ca="1" t="shared" si="2"/>
        <v>0</v>
      </c>
      <c r="M23" s="4"/>
    </row>
    <row r="24" spans="1:15">
      <c r="A24" t="s">
        <v>39</v>
      </c>
      <c r="B24" t="s">
        <v>11</v>
      </c>
      <c r="C24" s="1">
        <v>46189</v>
      </c>
      <c r="D24">
        <v>17</v>
      </c>
      <c r="E24">
        <v>95</v>
      </c>
      <c r="F24">
        <v>147</v>
      </c>
      <c r="G24">
        <v>941</v>
      </c>
      <c r="H24" s="2">
        <f t="shared" si="0"/>
        <v>5.58823529411765</v>
      </c>
      <c r="I24" s="2">
        <f t="shared" si="1"/>
        <v>6.40136054421769</v>
      </c>
      <c r="J24" s="3">
        <f ca="1">F24-IFERROR(VLOOKUP($A24,'0701'!$A$1:'0701'!G$79,6,FALSE),IFERROR(VLOOKUP($C24,'0701'!$C$1:'0701'!G$79,4,FALSE),F24-D24))</f>
        <v>3</v>
      </c>
      <c r="K24" s="5">
        <f ca="1">G24-IFERROR(VLOOKUP($A24,'0701'!$A$1:'0701'!H$79,7,FALSE),IFERROR(VLOOKUP($C24,'0701'!$C$1:'0701'!H$79,5,FALSE),G24-E24))</f>
        <v>19</v>
      </c>
      <c r="L24" s="2">
        <f ca="1" t="shared" si="2"/>
        <v>6.33333333333333</v>
      </c>
      <c r="M24" s="4" t="s">
        <v>40</v>
      </c>
      <c r="N24" t="s">
        <v>41</v>
      </c>
      <c r="O24" t="s">
        <v>42</v>
      </c>
    </row>
    <row r="25" spans="1:13">
      <c r="A25" t="s">
        <v>43</v>
      </c>
      <c r="B25" t="s">
        <v>11</v>
      </c>
      <c r="C25" s="1">
        <v>46187</v>
      </c>
      <c r="D25">
        <v>277</v>
      </c>
      <c r="E25">
        <v>107</v>
      </c>
      <c r="F25">
        <v>11066</v>
      </c>
      <c r="G25">
        <v>809</v>
      </c>
      <c r="H25" s="2">
        <f t="shared" si="0"/>
        <v>0.386281588447653</v>
      </c>
      <c r="I25" s="2">
        <f t="shared" si="1"/>
        <v>0.0731068136634737</v>
      </c>
      <c r="J25" s="3">
        <f ca="1">F25-IFERROR(VLOOKUP($A25,'0701'!$A$1:'0701'!G$79,6,FALSE),IFERROR(VLOOKUP($C25,'0701'!$C$1:'0701'!G$79,4,FALSE),F25-D25))</f>
        <v>63</v>
      </c>
      <c r="K25" s="5">
        <f ca="1">G25-IFERROR(VLOOKUP($A25,'0701'!$A$1:'0701'!H$79,7,FALSE),IFERROR(VLOOKUP($C25,'0701'!$C$1:'0701'!H$79,5,FALSE),G25-E25))</f>
        <v>25</v>
      </c>
      <c r="L25" s="2">
        <f ca="1" t="shared" si="2"/>
        <v>0.396825396825397</v>
      </c>
      <c r="M25" s="4"/>
    </row>
    <row r="26" spans="1:13">
      <c r="A26" t="s">
        <v>47</v>
      </c>
      <c r="B26" t="s">
        <v>11</v>
      </c>
      <c r="C26" s="1">
        <v>46182</v>
      </c>
      <c r="D26">
        <v>3</v>
      </c>
      <c r="E26">
        <v>22</v>
      </c>
      <c r="F26">
        <v>122</v>
      </c>
      <c r="G26">
        <v>284</v>
      </c>
      <c r="H26" s="2">
        <f t="shared" si="0"/>
        <v>7.33333333333333</v>
      </c>
      <c r="I26" s="2">
        <f t="shared" si="1"/>
        <v>2.32786885245902</v>
      </c>
      <c r="J26" s="3">
        <f ca="1">F26-IFERROR(VLOOKUP($A26,'0701'!$A$1:'0701'!G$79,6,FALSE),IFERROR(VLOOKUP($C26,'0701'!$C$1:'0701'!G$79,4,FALSE),F26-D26))</f>
        <v>1</v>
      </c>
      <c r="K26" s="5">
        <f ca="1">G26-IFERROR(VLOOKUP($A26,'0701'!$A$1:'0701'!H$79,7,FALSE),IFERROR(VLOOKUP($C26,'0701'!$C$1:'0701'!H$79,5,FALSE),G26-E26))</f>
        <v>7</v>
      </c>
      <c r="L26" s="2">
        <f ca="1" t="shared" si="2"/>
        <v>7</v>
      </c>
      <c r="M26" s="4"/>
    </row>
    <row r="27" spans="1:13">
      <c r="A27" t="s">
        <v>48</v>
      </c>
      <c r="B27" t="s">
        <v>11</v>
      </c>
      <c r="C27" s="1">
        <v>46177</v>
      </c>
      <c r="D27">
        <v>23</v>
      </c>
      <c r="E27">
        <v>38</v>
      </c>
      <c r="F27">
        <v>340</v>
      </c>
      <c r="G27">
        <v>665</v>
      </c>
      <c r="H27" s="2">
        <f t="shared" si="0"/>
        <v>1.65217391304348</v>
      </c>
      <c r="I27" s="2">
        <f t="shared" si="1"/>
        <v>1.95588235294118</v>
      </c>
      <c r="J27" s="3">
        <f ca="1">F27-IFERROR(VLOOKUP($A27,'0701'!$A$1:'0701'!G$79,6,FALSE),IFERROR(VLOOKUP($C27,'0701'!$C$1:'0701'!G$79,4,FALSE),F27-D27))</f>
        <v>0</v>
      </c>
      <c r="K27" s="5">
        <f ca="1">G27-IFERROR(VLOOKUP($A27,'0701'!$A$1:'0701'!H$79,7,FALSE),IFERROR(VLOOKUP($C27,'0701'!$C$1:'0701'!H$79,5,FALSE),G27-E27))</f>
        <v>0</v>
      </c>
      <c r="L27" s="2">
        <f ca="1" t="shared" si="2"/>
        <v>0</v>
      </c>
      <c r="M27" s="4"/>
    </row>
    <row r="28" spans="1:13">
      <c r="A28" t="s">
        <v>49</v>
      </c>
      <c r="B28" t="s">
        <v>11</v>
      </c>
      <c r="C28" s="1">
        <v>46173</v>
      </c>
      <c r="D28">
        <v>17</v>
      </c>
      <c r="E28">
        <v>19</v>
      </c>
      <c r="F28">
        <v>373</v>
      </c>
      <c r="G28">
        <v>481</v>
      </c>
      <c r="H28" s="2">
        <f t="shared" si="0"/>
        <v>1.11764705882353</v>
      </c>
      <c r="I28" s="2">
        <f t="shared" si="1"/>
        <v>1.28954423592493</v>
      </c>
      <c r="J28" s="3">
        <f ca="1">F28-IFERROR(VLOOKUP($A28,'0701'!$A$1:'0701'!G$79,6,FALSE),IFERROR(VLOOKUP($C28,'0701'!$C$1:'0701'!G$79,4,FALSE),F28-D28))</f>
        <v>0</v>
      </c>
      <c r="K28" s="5">
        <f ca="1">G28-IFERROR(VLOOKUP($A28,'0701'!$A$1:'0701'!H$79,7,FALSE),IFERROR(VLOOKUP($C28,'0701'!$C$1:'0701'!H$79,5,FALSE),G28-E28))</f>
        <v>0</v>
      </c>
      <c r="L28" s="2">
        <f ca="1" t="shared" si="2"/>
        <v>0</v>
      </c>
      <c r="M28" s="4"/>
    </row>
    <row r="29" spans="1:14">
      <c r="A29" t="s">
        <v>50</v>
      </c>
      <c r="B29" t="s">
        <v>11</v>
      </c>
      <c r="C29" s="1">
        <v>46172</v>
      </c>
      <c r="D29">
        <v>3</v>
      </c>
      <c r="E29">
        <v>7</v>
      </c>
      <c r="F29">
        <v>184</v>
      </c>
      <c r="G29">
        <v>144</v>
      </c>
      <c r="H29" s="2">
        <f t="shared" si="0"/>
        <v>2.33333333333333</v>
      </c>
      <c r="I29" s="2">
        <f t="shared" si="1"/>
        <v>0.782608695652174</v>
      </c>
      <c r="J29" s="3">
        <f ca="1">F29-IFERROR(VLOOKUP($A29,'0701'!$A$1:'0701'!G$79,6,FALSE),IFERROR(VLOOKUP($C29,'0701'!$C$1:'0701'!G$79,4,FALSE),F29-D29))</f>
        <v>0</v>
      </c>
      <c r="K29" s="5">
        <f ca="1">G29-IFERROR(VLOOKUP($A29,'0701'!$A$1:'0701'!H$79,7,FALSE),IFERROR(VLOOKUP($C29,'0701'!$C$1:'0701'!H$79,5,FALSE),G29-E29))</f>
        <v>0</v>
      </c>
      <c r="L29" s="2">
        <f ca="1" t="shared" si="2"/>
        <v>0</v>
      </c>
      <c r="M29" s="4"/>
      <c r="N29" s="4"/>
    </row>
    <row r="30" spans="1:13">
      <c r="A30" t="s">
        <v>51</v>
      </c>
      <c r="B30" t="s">
        <v>11</v>
      </c>
      <c r="C30" s="1">
        <v>46168</v>
      </c>
      <c r="D30">
        <v>3</v>
      </c>
      <c r="E30">
        <v>24</v>
      </c>
      <c r="F30">
        <v>127</v>
      </c>
      <c r="G30">
        <v>191</v>
      </c>
      <c r="H30" s="2">
        <f t="shared" si="0"/>
        <v>8</v>
      </c>
      <c r="I30" s="2">
        <f t="shared" si="1"/>
        <v>1.50393700787402</v>
      </c>
      <c r="J30" s="3">
        <f ca="1">F30-IFERROR(VLOOKUP($A30,'0701'!$A$1:'0701'!G$79,6,FALSE),IFERROR(VLOOKUP($C30,'0701'!$C$1:'0701'!G$79,4,FALSE),F30-D30))</f>
        <v>0</v>
      </c>
      <c r="K30" s="5">
        <f ca="1">G30-IFERROR(VLOOKUP($A30,'0701'!$A$1:'0701'!H$79,7,FALSE),IFERROR(VLOOKUP($C30,'0701'!$C$1:'0701'!H$79,5,FALSE),G30-E30))</f>
        <v>0</v>
      </c>
      <c r="L30" s="2">
        <f ca="1" t="shared" si="2"/>
        <v>0</v>
      </c>
      <c r="M30" s="4"/>
    </row>
    <row r="31" spans="1:13">
      <c r="A31" t="s">
        <v>52</v>
      </c>
      <c r="B31" t="s">
        <v>11</v>
      </c>
      <c r="C31" s="1">
        <v>46164</v>
      </c>
      <c r="D31">
        <v>36</v>
      </c>
      <c r="E31">
        <v>12</v>
      </c>
      <c r="F31">
        <v>586</v>
      </c>
      <c r="G31">
        <v>240</v>
      </c>
      <c r="H31" s="2">
        <f t="shared" si="0"/>
        <v>0.333333333333333</v>
      </c>
      <c r="I31" s="2">
        <f t="shared" si="1"/>
        <v>0.409556313993174</v>
      </c>
      <c r="J31" s="3">
        <f ca="1">F31-IFERROR(VLOOKUP($A31,'0701'!$A$1:'0701'!G$79,6,FALSE),IFERROR(VLOOKUP($C31,'0701'!$C$1:'0701'!G$79,4,FALSE),F31-D31))</f>
        <v>5</v>
      </c>
      <c r="K31" s="5">
        <f ca="1">G31-IFERROR(VLOOKUP($A31,'0701'!$A$1:'0701'!H$79,7,FALSE),IFERROR(VLOOKUP($C31,'0701'!$C$1:'0701'!H$79,5,FALSE),G31-E31))</f>
        <v>0</v>
      </c>
      <c r="L31" s="2">
        <f ca="1" t="shared" si="2"/>
        <v>0</v>
      </c>
      <c r="M31" s="4"/>
    </row>
    <row r="32" spans="1:13">
      <c r="A32" t="s">
        <v>79</v>
      </c>
      <c r="B32" t="s">
        <v>11</v>
      </c>
      <c r="C32" s="1">
        <v>46153</v>
      </c>
      <c r="D32">
        <v>2</v>
      </c>
      <c r="E32">
        <v>5</v>
      </c>
      <c r="F32">
        <v>130</v>
      </c>
      <c r="G32">
        <v>98</v>
      </c>
      <c r="H32" s="2">
        <f t="shared" si="0"/>
        <v>2.5</v>
      </c>
      <c r="I32" s="2">
        <f t="shared" si="1"/>
        <v>0.753846153846154</v>
      </c>
      <c r="J32" s="3">
        <f ca="1">F32-IFERROR(VLOOKUP($A32,'0701'!$A$1:'0701'!G$79,6,FALSE),IFERROR(VLOOKUP($C32,'0701'!$C$1:'0701'!G$79,4,FALSE),F32-D32))</f>
        <v>2</v>
      </c>
      <c r="K32" s="5">
        <f ca="1">G32-IFERROR(VLOOKUP($A32,'0701'!$A$1:'0701'!H$79,7,FALSE),IFERROR(VLOOKUP($C32,'0701'!$C$1:'0701'!H$79,5,FALSE),G32-E32))</f>
        <v>5</v>
      </c>
      <c r="L32" s="2">
        <f ca="1" t="shared" si="2"/>
        <v>2.5</v>
      </c>
      <c r="M32" s="4"/>
    </row>
    <row r="33" spans="1:13">
      <c r="A33" t="s">
        <v>54</v>
      </c>
      <c r="B33" t="s">
        <v>11</v>
      </c>
      <c r="C33" s="1">
        <v>46142</v>
      </c>
      <c r="D33">
        <v>10</v>
      </c>
      <c r="E33">
        <v>30</v>
      </c>
      <c r="F33">
        <v>3160</v>
      </c>
      <c r="G33">
        <v>1782</v>
      </c>
      <c r="H33" s="2">
        <f t="shared" si="0"/>
        <v>3</v>
      </c>
      <c r="I33" s="2">
        <f t="shared" si="1"/>
        <v>0.563924050632911</v>
      </c>
      <c r="J33" s="3">
        <f ca="1">F33-IFERROR(VLOOKUP($A33,'0701'!$A$1:'0701'!G$79,6,FALSE),IFERROR(VLOOKUP($C33,'0701'!$C$1:'0701'!G$79,4,FALSE),F33-D33))</f>
        <v>2</v>
      </c>
      <c r="K33" s="5">
        <f ca="1">G33-IFERROR(VLOOKUP($A33,'0701'!$A$1:'0701'!H$79,7,FALSE),IFERROR(VLOOKUP($C33,'0701'!$C$1:'0701'!H$79,5,FALSE),G33-E33))</f>
        <v>0</v>
      </c>
      <c r="L33" s="2">
        <f ca="1" t="shared" si="2"/>
        <v>0</v>
      </c>
      <c r="M33" s="4"/>
    </row>
    <row r="34" spans="1:12">
      <c r="A34" t="s">
        <v>55</v>
      </c>
      <c r="B34" t="s">
        <v>11</v>
      </c>
      <c r="C34" s="1">
        <v>46129</v>
      </c>
      <c r="D34">
        <v>12</v>
      </c>
      <c r="E34">
        <v>12</v>
      </c>
      <c r="F34">
        <v>400</v>
      </c>
      <c r="G34">
        <v>129</v>
      </c>
      <c r="H34" s="2">
        <f t="shared" si="0"/>
        <v>1</v>
      </c>
      <c r="I34" s="2">
        <f t="shared" si="1"/>
        <v>0.3225</v>
      </c>
      <c r="J34" s="3">
        <f ca="1">F34-IFERROR(VLOOKUP($A34,'0701'!$A$1:'0701'!G$79,6,FALSE),IFERROR(VLOOKUP($C34,'0701'!$C$1:'0701'!G$79,4,FALSE),F34-D34))</f>
        <v>2</v>
      </c>
      <c r="K34" s="5">
        <f ca="1">G34-IFERROR(VLOOKUP($A34,'0701'!$A$1:'0701'!H$79,7,FALSE),IFERROR(VLOOKUP($C34,'0701'!$C$1:'0701'!H$79,5,FALSE),G34-E34))</f>
        <v>0</v>
      </c>
      <c r="L34" s="2">
        <f ca="1" t="shared" si="2"/>
        <v>0</v>
      </c>
    </row>
    <row r="35" spans="1:12">
      <c r="A35" t="s">
        <v>56</v>
      </c>
      <c r="B35" t="s">
        <v>11</v>
      </c>
      <c r="C35" s="1">
        <v>46063</v>
      </c>
      <c r="D35">
        <v>1</v>
      </c>
      <c r="E35">
        <v>9</v>
      </c>
      <c r="F35">
        <v>248</v>
      </c>
      <c r="G35">
        <v>523</v>
      </c>
      <c r="H35" s="2">
        <f t="shared" si="0"/>
        <v>9</v>
      </c>
      <c r="I35" s="2">
        <f t="shared" si="1"/>
        <v>2.10887096774194</v>
      </c>
      <c r="J35" s="3">
        <f ca="1">F35-IFERROR(VLOOKUP($A35,'0701'!$A$1:'0701'!G$79,6,FALSE),IFERROR(VLOOKUP($C35,'0701'!$C$1:'0701'!G$79,4,FALSE),F35-D35))</f>
        <v>1</v>
      </c>
      <c r="K35" s="5">
        <f ca="1">G35-IFERROR(VLOOKUP($A35,'0701'!$A$1:'0701'!H$79,7,FALSE),IFERROR(VLOOKUP($C35,'0701'!$C$1:'0701'!H$79,5,FALSE),G35-E35))</f>
        <v>0</v>
      </c>
      <c r="L35" s="2">
        <f ca="1" t="shared" si="2"/>
        <v>0</v>
      </c>
    </row>
    <row r="36" spans="1:12">
      <c r="A36" t="s">
        <v>58</v>
      </c>
      <c r="B36" t="s">
        <v>11</v>
      </c>
      <c r="C36" s="1">
        <v>46031</v>
      </c>
      <c r="D36">
        <v>408</v>
      </c>
      <c r="E36">
        <v>65</v>
      </c>
      <c r="F36">
        <v>3027</v>
      </c>
      <c r="G36">
        <v>1465</v>
      </c>
      <c r="H36" s="2">
        <f t="shared" si="0"/>
        <v>0.159313725490196</v>
      </c>
      <c r="I36" s="2">
        <f t="shared" si="1"/>
        <v>0.48397753551371</v>
      </c>
      <c r="J36" s="3">
        <f ca="1">F36-IFERROR(VLOOKUP($A36,'0701'!$A$1:'0701'!G$79,6,FALSE),IFERROR(VLOOKUP($C36,'0701'!$C$1:'0701'!G$79,4,FALSE),F36-D36))</f>
        <v>8</v>
      </c>
      <c r="K36" s="5">
        <f ca="1">G36-IFERROR(VLOOKUP($A36,'0701'!$A$1:'0701'!H$79,7,FALSE),IFERROR(VLOOKUP($C36,'0701'!$C$1:'0701'!H$79,5,FALSE),G36-E36))</f>
        <v>0</v>
      </c>
      <c r="L36" s="2">
        <f ca="1" t="shared" si="2"/>
        <v>0</v>
      </c>
    </row>
    <row r="37" spans="1:12">
      <c r="A37" t="s">
        <v>59</v>
      </c>
      <c r="B37" t="s">
        <v>11</v>
      </c>
      <c r="C37" s="1">
        <v>46007</v>
      </c>
      <c r="D37">
        <v>27</v>
      </c>
      <c r="E37">
        <v>3</v>
      </c>
      <c r="F37">
        <v>1542</v>
      </c>
      <c r="G37">
        <v>926</v>
      </c>
      <c r="H37" s="2">
        <f t="shared" si="0"/>
        <v>0.111111111111111</v>
      </c>
      <c r="I37" s="2">
        <f t="shared" si="1"/>
        <v>0.600518806744488</v>
      </c>
      <c r="J37" s="3">
        <f ca="1">F37-IFERROR(VLOOKUP($A37,'0701'!$A$1:'0701'!G$79,6,FALSE),IFERROR(VLOOKUP($C37,'0701'!$C$1:'0701'!G$79,4,FALSE),F37-D37))</f>
        <v>0</v>
      </c>
      <c r="K37" s="5">
        <f ca="1">G37-IFERROR(VLOOKUP($A37,'0701'!$A$1:'0701'!H$79,7,FALSE),IFERROR(VLOOKUP($C37,'0701'!$C$1:'0701'!H$79,5,FALSE),G37-E37))</f>
        <v>0</v>
      </c>
      <c r="L37" s="2">
        <f ca="1" t="shared" si="2"/>
        <v>0</v>
      </c>
    </row>
    <row r="38" spans="1:12">
      <c r="A38" t="s">
        <v>80</v>
      </c>
      <c r="B38" t="s">
        <v>11</v>
      </c>
      <c r="C38" s="1">
        <v>45995</v>
      </c>
      <c r="D38">
        <v>13</v>
      </c>
      <c r="E38">
        <v>7</v>
      </c>
      <c r="F38">
        <v>4483</v>
      </c>
      <c r="G38">
        <v>1457</v>
      </c>
      <c r="H38" s="2">
        <f t="shared" si="0"/>
        <v>0.538461538461538</v>
      </c>
      <c r="I38" s="2">
        <f t="shared" si="1"/>
        <v>0.325005576622797</v>
      </c>
      <c r="J38" s="3">
        <f ca="1">F38-IFERROR(VLOOKUP($A38,'0701'!$A$1:'0701'!G$79,6,FALSE),IFERROR(VLOOKUP($C38,'0701'!$C$1:'0701'!G$79,4,FALSE),F38-D38))</f>
        <v>13</v>
      </c>
      <c r="K38" s="5">
        <f ca="1">G38-IFERROR(VLOOKUP($A38,'0701'!$A$1:'0701'!H$79,7,FALSE),IFERROR(VLOOKUP($C38,'0701'!$C$1:'0701'!H$79,5,FALSE),G38-E38))</f>
        <v>7</v>
      </c>
      <c r="L38" s="2">
        <f ca="1" t="shared" si="2"/>
        <v>0.538461538461538</v>
      </c>
    </row>
    <row r="39" spans="1:12">
      <c r="A39" t="s">
        <v>61</v>
      </c>
      <c r="B39" t="s">
        <v>11</v>
      </c>
      <c r="C39" s="1">
        <v>45982</v>
      </c>
      <c r="D39">
        <v>33</v>
      </c>
      <c r="E39">
        <v>3</v>
      </c>
      <c r="F39">
        <v>340</v>
      </c>
      <c r="G39">
        <v>940</v>
      </c>
      <c r="H39" s="2">
        <f t="shared" si="0"/>
        <v>0.0909090909090909</v>
      </c>
      <c r="I39" s="2">
        <f t="shared" si="1"/>
        <v>2.76470588235294</v>
      </c>
      <c r="J39" s="3">
        <f ca="1">F39-IFERROR(VLOOKUP($A39,'0701'!$A$1:'0701'!G$79,6,FALSE),IFERROR(VLOOKUP($C39,'0701'!$C$1:'0701'!G$79,4,FALSE),F39-D39))</f>
        <v>3</v>
      </c>
      <c r="K39" s="5">
        <f ca="1">G39-IFERROR(VLOOKUP($A39,'0701'!$A$1:'0701'!H$79,7,FALSE),IFERROR(VLOOKUP($C39,'0701'!$C$1:'0701'!H$79,5,FALSE),G39-E39))</f>
        <v>0</v>
      </c>
      <c r="L39" s="2">
        <f ca="1" t="shared" si="2"/>
        <v>0</v>
      </c>
    </row>
    <row r="40" spans="1:12">
      <c r="A40" t="s">
        <v>62</v>
      </c>
      <c r="B40" t="s">
        <v>11</v>
      </c>
      <c r="C40" s="1">
        <v>45973</v>
      </c>
      <c r="D40">
        <v>26</v>
      </c>
      <c r="E40">
        <v>3</v>
      </c>
      <c r="F40">
        <v>20299</v>
      </c>
      <c r="G40">
        <v>6787</v>
      </c>
      <c r="H40" s="2">
        <f t="shared" si="0"/>
        <v>0.115384615384615</v>
      </c>
      <c r="I40" s="2">
        <f t="shared" si="1"/>
        <v>0.334351445884034</v>
      </c>
      <c r="J40" s="3">
        <f ca="1">F40-IFERROR(VLOOKUP($A40,'0701'!$A$1:'0701'!G$79,6,FALSE),IFERROR(VLOOKUP($C40,'0701'!$C$1:'0701'!G$79,4,FALSE),F40-D40))</f>
        <v>1</v>
      </c>
      <c r="K40" s="5">
        <f ca="1">G40-IFERROR(VLOOKUP($A40,'0701'!$A$1:'0701'!H$79,7,FALSE),IFERROR(VLOOKUP($C40,'0701'!$C$1:'0701'!H$79,5,FALSE),G40-E40))</f>
        <v>0</v>
      </c>
      <c r="L40" s="2">
        <f ca="1" t="shared" si="2"/>
        <v>0</v>
      </c>
    </row>
    <row r="41" spans="1:12">
      <c r="A41" t="s">
        <v>63</v>
      </c>
      <c r="B41" t="s">
        <v>11</v>
      </c>
      <c r="C41" s="1">
        <v>45968</v>
      </c>
      <c r="D41">
        <v>4</v>
      </c>
      <c r="E41">
        <v>7</v>
      </c>
      <c r="F41">
        <v>167</v>
      </c>
      <c r="G41">
        <v>241</v>
      </c>
      <c r="H41" s="2">
        <f t="shared" si="0"/>
        <v>1.75</v>
      </c>
      <c r="I41" s="2">
        <f t="shared" si="1"/>
        <v>1.44311377245509</v>
      </c>
      <c r="J41" s="3">
        <f ca="1">F41-IFERROR(VLOOKUP($A41,'0701'!$A$1:'0701'!G$79,6,FALSE),IFERROR(VLOOKUP($C41,'0701'!$C$1:'0701'!G$79,4,FALSE),F41-D41))</f>
        <v>0</v>
      </c>
      <c r="K41" s="5">
        <f ca="1">G41-IFERROR(VLOOKUP($A41,'0701'!$A$1:'0701'!H$79,7,FALSE),IFERROR(VLOOKUP($C41,'0701'!$C$1:'0701'!H$79,5,FALSE),G41-E41))</f>
        <v>0</v>
      </c>
      <c r="L41" s="2">
        <f ca="1" t="shared" si="2"/>
        <v>0</v>
      </c>
    </row>
    <row r="42" spans="1:12">
      <c r="A42" t="s">
        <v>64</v>
      </c>
      <c r="B42" t="s">
        <v>11</v>
      </c>
      <c r="C42" s="1">
        <v>45937</v>
      </c>
      <c r="D42">
        <v>21</v>
      </c>
      <c r="E42">
        <v>5</v>
      </c>
      <c r="F42">
        <v>994</v>
      </c>
      <c r="G42">
        <v>654</v>
      </c>
      <c r="H42" s="2">
        <f t="shared" si="0"/>
        <v>0.238095238095238</v>
      </c>
      <c r="I42" s="2">
        <f t="shared" si="1"/>
        <v>0.6579476861167</v>
      </c>
      <c r="J42" s="3">
        <f ca="1">F42-IFERROR(VLOOKUP($A42,'0701'!$A$1:'0701'!G$79,6,FALSE),IFERROR(VLOOKUP($C42,'0701'!$C$1:'0701'!G$79,4,FALSE),F42-D42))</f>
        <v>1</v>
      </c>
      <c r="K42" s="5">
        <f ca="1">G42-IFERROR(VLOOKUP($A42,'0701'!$A$1:'0701'!H$79,7,FALSE),IFERROR(VLOOKUP($C42,'0701'!$C$1:'0701'!H$79,5,FALSE),G42-E42))</f>
        <v>0</v>
      </c>
      <c r="L42" s="2">
        <f ca="1" t="shared" si="2"/>
        <v>0</v>
      </c>
    </row>
    <row r="43" spans="1:12">
      <c r="A43" t="s">
        <v>65</v>
      </c>
      <c r="B43" t="s">
        <v>11</v>
      </c>
      <c r="C43" s="1">
        <v>45933</v>
      </c>
      <c r="D43">
        <v>24</v>
      </c>
      <c r="E43">
        <v>1</v>
      </c>
      <c r="F43">
        <v>356</v>
      </c>
      <c r="G43">
        <v>539</v>
      </c>
      <c r="H43" s="2">
        <f t="shared" si="0"/>
        <v>0.0416666666666667</v>
      </c>
      <c r="I43" s="2">
        <f t="shared" si="1"/>
        <v>1.51404494382022</v>
      </c>
      <c r="J43" s="3">
        <f ca="1">F43-IFERROR(VLOOKUP($A43,'0701'!$A$1:'0701'!G$79,6,FALSE),IFERROR(VLOOKUP($C43,'0701'!$C$1:'0701'!G$79,4,FALSE),F43-D43))</f>
        <v>0</v>
      </c>
      <c r="K43" s="5">
        <f ca="1">G43-IFERROR(VLOOKUP($A43,'0701'!$A$1:'0701'!H$79,7,FALSE),IFERROR(VLOOKUP($C43,'0701'!$C$1:'0701'!H$79,5,FALSE),G43-E43))</f>
        <v>0</v>
      </c>
      <c r="L43" s="2">
        <f ca="1" t="shared" si="2"/>
        <v>0</v>
      </c>
    </row>
    <row r="44" spans="1:12">
      <c r="A44" t="s">
        <v>66</v>
      </c>
      <c r="B44" t="s">
        <v>11</v>
      </c>
      <c r="C44" s="1">
        <v>45930</v>
      </c>
      <c r="D44">
        <v>13</v>
      </c>
      <c r="E44">
        <v>2</v>
      </c>
      <c r="F44">
        <v>409</v>
      </c>
      <c r="G44">
        <v>314</v>
      </c>
      <c r="H44" s="2">
        <f t="shared" si="0"/>
        <v>0.153846153846154</v>
      </c>
      <c r="I44" s="2">
        <f t="shared" si="1"/>
        <v>0.767726161369193</v>
      </c>
      <c r="J44" s="3">
        <f ca="1">F44-IFERROR(VLOOKUP($A44,'0701'!$A$1:'0701'!G$79,6,FALSE),IFERROR(VLOOKUP($C44,'0701'!$C$1:'0701'!G$79,4,FALSE),F44-D44))</f>
        <v>0</v>
      </c>
      <c r="K44" s="5">
        <f ca="1">G44-IFERROR(VLOOKUP($A44,'0701'!$A$1:'0701'!H$79,7,FALSE),IFERROR(VLOOKUP($C44,'0701'!$C$1:'0701'!H$79,5,FALSE),G44-E44))</f>
        <v>0</v>
      </c>
      <c r="L44" s="2">
        <f ca="1" t="shared" si="2"/>
        <v>0</v>
      </c>
    </row>
    <row r="45" spans="1:12">
      <c r="A45" t="s">
        <v>67</v>
      </c>
      <c r="B45" t="s">
        <v>11</v>
      </c>
      <c r="C45" s="1">
        <v>45927</v>
      </c>
      <c r="D45">
        <v>4</v>
      </c>
      <c r="E45">
        <v>1</v>
      </c>
      <c r="F45">
        <v>239</v>
      </c>
      <c r="G45">
        <v>680</v>
      </c>
      <c r="H45" s="2">
        <f t="shared" si="0"/>
        <v>0.25</v>
      </c>
      <c r="I45" s="2">
        <f t="shared" si="1"/>
        <v>2.84518828451883</v>
      </c>
      <c r="J45" s="3">
        <f ca="1">F45-IFERROR(VLOOKUP($A45,'0701'!$A$1:'0701'!G$79,6,FALSE),IFERROR(VLOOKUP($C45,'0701'!$C$1:'0701'!G$79,4,FALSE),F45-D45))</f>
        <v>0</v>
      </c>
      <c r="K45" s="5">
        <f ca="1">G45-IFERROR(VLOOKUP($A45,'0701'!$A$1:'0701'!H$79,7,FALSE),IFERROR(VLOOKUP($C45,'0701'!$C$1:'0701'!H$79,5,FALSE),G45-E45))</f>
        <v>0</v>
      </c>
      <c r="L45" s="2">
        <f ca="1" t="shared" si="2"/>
        <v>0</v>
      </c>
    </row>
    <row r="46" spans="1:12">
      <c r="A46" t="s">
        <v>68</v>
      </c>
      <c r="B46" t="s">
        <v>11</v>
      </c>
      <c r="C46" s="1">
        <v>45899</v>
      </c>
      <c r="D46">
        <v>4</v>
      </c>
      <c r="E46">
        <v>1</v>
      </c>
      <c r="F46">
        <v>805</v>
      </c>
      <c r="G46">
        <v>538</v>
      </c>
      <c r="H46" s="2">
        <f t="shared" si="0"/>
        <v>0.25</v>
      </c>
      <c r="I46" s="2">
        <f t="shared" si="1"/>
        <v>0.66832298136646</v>
      </c>
      <c r="J46" s="3">
        <f ca="1">F46-IFERROR(VLOOKUP($A46,'0701'!$A$1:'0701'!G$79,6,FALSE),IFERROR(VLOOKUP($C46,'0701'!$C$1:'0701'!G$79,4,FALSE),F46-D46))</f>
        <v>0</v>
      </c>
      <c r="K46" s="5">
        <f ca="1">G46-IFERROR(VLOOKUP($A46,'0701'!$A$1:'0701'!H$79,7,FALSE),IFERROR(VLOOKUP($C46,'0701'!$C$1:'0701'!H$79,5,FALSE),G46-E46))</f>
        <v>0</v>
      </c>
      <c r="L46" s="2">
        <f ca="1" t="shared" si="2"/>
        <v>0</v>
      </c>
    </row>
    <row r="47" spans="1:12">
      <c r="A47" t="s">
        <v>74</v>
      </c>
      <c r="B47" t="s">
        <v>11</v>
      </c>
      <c r="C47" s="1">
        <v>45847</v>
      </c>
      <c r="D47">
        <v>12</v>
      </c>
      <c r="E47">
        <v>2</v>
      </c>
      <c r="F47">
        <v>446</v>
      </c>
      <c r="G47">
        <v>248</v>
      </c>
      <c r="H47" s="2">
        <f t="shared" si="0"/>
        <v>0.166666666666667</v>
      </c>
      <c r="I47" s="2">
        <f t="shared" si="1"/>
        <v>0.556053811659193</v>
      </c>
      <c r="J47" s="3">
        <f ca="1">F47-IFERROR(VLOOKUP($A47,'0701'!$A$1:'0701'!G$79,6,FALSE),IFERROR(VLOOKUP($C47,'0701'!$C$1:'0701'!G$79,4,FALSE),F47-D47))</f>
        <v>0</v>
      </c>
      <c r="K47" s="5">
        <f ca="1">G47-IFERROR(VLOOKUP($A47,'0701'!$A$1:'0701'!H$79,7,FALSE),IFERROR(VLOOKUP($C47,'0701'!$C$1:'0701'!H$79,5,FALSE),G47-E47))</f>
        <v>0</v>
      </c>
      <c r="L47" s="2">
        <f ca="1" t="shared" si="2"/>
        <v>0</v>
      </c>
    </row>
    <row r="48" spans="11:11">
      <c r="K48">
        <f ca="1">SUM(K2:K47)</f>
        <v>970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0701</vt:lpstr>
      <vt:lpstr>0702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</dc:creator>
  <cp:lastModifiedBy>WPS_1704957527</cp:lastModifiedBy>
  <dcterms:created xsi:type="dcterms:W3CDTF">2026-07-02T01:19:00Z</dcterms:created>
  <dcterms:modified xsi:type="dcterms:W3CDTF">2026-07-03T04:52:28Z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6C87B62EF2574D8280E44E6993C1BA44</vt:lpwstr>
  </property>
  <property fmtid="{D5CDD505-2E9C-101B-9397-08002B2CF9AE}" pid="3" name="KSOProductBuildVer">
    <vt:lpwstr>2052-11.1.0.11830</vt:lpwstr>
  </property>
</Properties>
</file>